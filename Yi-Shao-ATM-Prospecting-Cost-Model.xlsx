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Overview" sheetId="1" r:id="rId1"/>
    <sheet name="Funnel &amp; cost" sheetId="2" r:id="rId2"/>
    <sheet name="Assumptions" sheetId="3" r:id="rId3"/>
    <sheet name="Sensitivity" sheetId="4" r:id="rId4"/>
    <sheet name="Outcome plan" sheetId="5" r:id="rId5"/>
    <sheet name="Source register" sheetId="6" r:id="rId6"/>
    <sheet name="Validation summary" sheetId="7" r:id="rId7"/>
    <sheet name="Raw validation" sheetId="8" r:id="rId8"/>
    <sheet name="Pivot table" sheetId="9" r:id="rId9"/>
    <sheet name="Reconciliation &amp; QA" sheetId="10" r:id="rId10"/>
  </sheets>
  <definedNames>
    <definedName name="_xlnm.Print_Area" localSheetId="0">Overview!$B$2:$I$30</definedName>
    <definedName name="_xlnm.Print_Area" localSheetId="1">'Funnel &amp; cost'!$B$2:$F$39</definedName>
    <definedName name="_xlnm.Print_Area" localSheetId="2">Assumptions!$B$2:$G$29</definedName>
    <definedName name="_xlnm.Print_Area" localSheetId="3">Sensitivity!$B$2:$I$35</definedName>
    <definedName name="_xlnm.Print_Area" localSheetId="4">'Outcome plan'!$B$2:$G$36</definedName>
    <definedName name="_xlnm.Print_Area" localSheetId="5">'Source register'!$B$2:$I$19</definedName>
    <definedName name="_xlnm.Print_Area" localSheetId="6">'Validation summary'!$B$2:$M$43</definedName>
    <definedName name="_xlnm.Print_Area" localSheetId="7">'Raw validation'!$B$2:$S$44</definedName>
    <definedName name="_xlnm.Print_Area" localSheetId="8">'Pivot table'!$B$2:$L$15</definedName>
    <definedName name="_xlnm.Print_Area" localSheetId="9">'Reconciliation &amp; QA'!$B$2:$G$23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Yi Shao</author>
  </authors>
  <commentList>
    <comment ref="C6" authorId="0">
      <text>
        <r>
          <rPr>
            <sz val="10"/>
            <rFont val="宋体"/>
            <charset val="134"/>
          </rPr>
          <t>Change this to the size of the list-production cycle you want to plan.</t>
        </r>
      </text>
    </comment>
    <comment ref="C10" authorId="0">
      <text>
        <r>
          <rPr>
            <sz val="10"/>
            <rFont val="宋体"/>
            <charset val="134"/>
          </rPr>
          <t>Change this to the loaded hourly cost used for planning.</t>
        </r>
      </text>
    </comment>
    <comment ref="C17" authorId="0">
      <text>
        <r>
          <rPr>
            <sz val="10"/>
            <rFont val="宋体"/>
            <charset val="134"/>
          </rPr>
          <t>Expected share of candidates repeated across neighboring searches.</t>
        </r>
      </text>
    </comment>
    <comment ref="C18" authorId="0">
      <text>
        <r>
          <rPr>
            <sz val="10"/>
            <rFont val="宋体"/>
            <charset val="134"/>
          </rPr>
          <t>Expected share of Review-needed records that become outreach-ready after a human check.</t>
        </r>
      </text>
    </comment>
    <comment ref="C20" authorId="0">
      <text>
        <r>
          <rPr>
            <sz val="10"/>
            <rFont val="宋体"/>
            <charset val="134"/>
          </rPr>
          <t>Average first-pass review time for each unique mapped candidate.</t>
        </r>
      </text>
    </comment>
    <comment ref="C21" authorId="0">
      <text>
        <r>
          <rPr>
            <sz val="10"/>
            <rFont val="宋体"/>
            <charset val="134"/>
          </rPr>
          <t>Extra review time for records requiring a human check.</t>
        </r>
      </text>
    </comment>
    <comment ref="C22" authorId="0">
      <text>
        <r>
          <rPr>
            <sz val="10"/>
            <rFont val="宋体"/>
            <charset val="134"/>
          </rPr>
          <t>Average setup and monitoring time for one completed search.</t>
        </r>
      </text>
    </comment>
    <comment ref="C23" authorId="0">
      <text>
        <r>
          <rPr>
            <sz val="10"/>
            <rFont val="宋体"/>
            <charset val="134"/>
          </rPr>
          <t>Average reconciliation and export time for one completed search.</t>
        </r>
      </text>
    </comment>
    <comment ref="C24" authorId="0">
      <text>
        <r>
          <rPr>
            <sz val="10"/>
            <rFont val="宋体"/>
            <charset val="134"/>
          </rPr>
          <t>Fixed QA and administration time for the planning cycle.</t>
        </r>
      </text>
    </comment>
    <comment ref="C25" authorId="0">
      <text>
        <r>
          <rPr>
            <sz val="10"/>
            <rFont val="宋体"/>
            <charset val="134"/>
          </rPr>
          <t>Allowance for coordination, rework, and interruptions.</t>
        </r>
      </text>
    </comment>
    <comment ref="C29" authorId="0">
      <text>
        <r>
          <rPr>
            <sz val="10"/>
            <rFont val="宋体"/>
            <charset val="134"/>
          </rPr>
          <t>Share of the monthly free API allowance assigned to this planning cycle.</t>
        </r>
      </text>
    </comment>
  </commentList>
</comments>
</file>

<file path=xl/sharedStrings.xml><?xml version="1.0" encoding="utf-8"?>
<sst xmlns="http://schemas.openxmlformats.org/spreadsheetml/2006/main" count="1123" uniqueCount="603">
  <si>
    <t>ATM Map prospecting cost model</t>
  </si>
  <si>
    <t>A planning model for screening 2,500 unique sites: compare the prior manual list-building baseline with the market-calibrated ATM Map workflow, test uncertainty, and track campaign outcomes.</t>
  </si>
  <si>
    <t>BASE PLANNING SCENARIO</t>
  </si>
  <si>
    <t>SCOPE</t>
  </si>
  <si>
    <t>MANUAL BASELINE</t>
  </si>
  <si>
    <t>ATM MAP WORKFLOW</t>
  </si>
  <si>
    <t>GROSS API COST</t>
  </si>
  <si>
    <t>unique sites screened</t>
  </si>
  <si>
    <t>estimated analyst hours</t>
  </si>
  <si>
    <t>before monthly free usage</t>
  </si>
  <si>
    <t>DECISION VIEW</t>
  </si>
  <si>
    <t>METRIC</t>
  </si>
  <si>
    <t>PLANNING INTERPRETATION</t>
  </si>
  <si>
    <t>Analyst hours</t>
  </si>
  <si>
    <t>End-to-end effort for the same screening target.</t>
  </si>
  <si>
    <t>List-production cost</t>
  </si>
  <si>
    <t>Labor plus API usage in the ATM Map column.</t>
  </si>
  <si>
    <t>Cost per unique site</t>
  </si>
  <si>
    <t>A common unit for comparing workflow efficiency.</t>
  </si>
  <si>
    <t>Estimated mail-ready sites</t>
  </si>
  <si>
    <t>Ready records plus review-needed records that pass.</t>
  </si>
  <si>
    <t>WHAT THIS MODEL SUPPORTS</t>
  </si>
  <si>
    <t>HOW TO REVIEW</t>
  </si>
  <si>
    <t>Use the model to set a list-production budget, compare workflow capacity, and see which assumptions materially change the result. The base case includes search setup, review, exception handling, reconciliation, QA, overhead, and API usage.</t>
  </si>
  <si>
    <t>1</t>
  </si>
  <si>
    <t>Change yellow cells on Assumptions for a new planning case.</t>
  </si>
  <si>
    <t>2</t>
  </si>
  <si>
    <t>Review Funnel &amp; cost for the base workflow and Sensitivity for the range.</t>
  </si>
  <si>
    <t>3</t>
  </si>
  <si>
    <t>Use Outcome plan after a campaign closes to calculate response, conversion, and CAC.</t>
  </si>
  <si>
    <t>4</t>
  </si>
  <si>
    <t>Use the remaining tabs for source, validation, pivot, chart, and formula detail.</t>
  </si>
  <si>
    <t>MODEL MAP</t>
  </si>
  <si>
    <t>Funnel &amp; cost</t>
  </si>
  <si>
    <t>Market-calibrated screening, labor, API, and unit-cost model.</t>
  </si>
  <si>
    <t>Assumptions</t>
  </si>
  <si>
    <t>Editable scenario inputs and linked operating benchmarks.</t>
  </si>
  <si>
    <t>Sensitivity</t>
  </si>
  <si>
    <t>High-, base-, and low-effort ranges plus a two-way table.</t>
  </si>
  <si>
    <t>Outcome plan</t>
  </si>
  <si>
    <t>Closed-campaign inputs for response, conversion, and total CAC.</t>
  </si>
  <si>
    <t>Supporting tabs</t>
  </si>
  <si>
    <t>Sources, completed-run evidence, PivotTable, charts, and model checks.</t>
  </si>
  <si>
    <t>Planning use: compare capacity and cost before a run. Use Outcome plan to record closed-campaign results.</t>
  </si>
  <si>
    <t>ATM Map workflow · market-calibrated planning scenario</t>
  </si>
  <si>
    <t>Compares the prior manual list-building baseline with the ATM Map workflow for the same target, using the completed 21-area market run for search yield and qualification mix.</t>
  </si>
  <si>
    <t>UNIT</t>
  </si>
  <si>
    <t>PLANNING NOTE</t>
  </si>
  <si>
    <t>SITE FUNNEL</t>
  </si>
  <si>
    <t>Target unique physical sites screened</t>
  </si>
  <si>
    <t>sites</t>
  </si>
  <si>
    <t>Common decision unit; screening does not automatically make a site outreach-ready.</t>
  </si>
  <si>
    <t>Place-ID yield per completed area</t>
  </si>
  <si>
    <t/>
  </si>
  <si>
    <t>primary Place IDs/area</t>
  </si>
  <si>
    <t>Observed mapped yield adjusted by the measured cross-area repeat rate.</t>
  </si>
  <si>
    <t>Completed areas required</t>
  </si>
  <si>
    <t>whole searches</t>
  </si>
  <si>
    <t>Areas are rounded up to cover the target.</t>
  </si>
  <si>
    <t>Gross candidate observations</t>
  </si>
  <si>
    <t>observations</t>
  </si>
  <si>
    <t>Before cross-area repeat observations are removed.</t>
  </si>
  <si>
    <t>Estimated repeated Place-ID observations</t>
  </si>
  <si>
    <t>Place-ID observations</t>
  </si>
  <si>
    <t>Uses the repeat rate measured across neighboring search areas.</t>
  </si>
  <si>
    <t>Estimated unique returned primary Place IDs after overlap</t>
  </si>
  <si>
    <t>primary Place IDs</t>
  </si>
  <si>
    <t>Planning proxy for the physical-site target; reconcile records before treating them as distinct sites.</t>
  </si>
  <si>
    <t>Additional candidate records held for later</t>
  </si>
  <si>
    <t>Whole areas can return more candidate records than the current cycle needs.</t>
  </si>
  <si>
    <t>Ready for outreach</t>
  </si>
  <si>
    <t>Estimated from the current qualification mix.</t>
  </si>
  <si>
    <t>Review needed</t>
  </si>
  <si>
    <t>Records requiring a human check before outreach.</t>
  </si>
  <si>
    <t>Not currently viable</t>
  </si>
  <si>
    <t>Remaining records after Ready and Review needed.</t>
  </si>
  <si>
    <t>Review-needed sites that pass</t>
  </si>
  <si>
    <t>Share expected to become outreach-ready after review.</t>
  </si>
  <si>
    <t>Funnel check</t>
  </si>
  <si>
    <t>Ready, Review needed, and Not currently viable must equal the target.</t>
  </si>
  <si>
    <t>WORKFLOW EFFORT</t>
  </si>
  <si>
    <t>Search setup and monitoring</t>
  </si>
  <si>
    <t>minutes</t>
  </si>
  <si>
    <t>Area selection and monitoring for each completed search.</t>
  </si>
  <si>
    <t>Review of each unique site</t>
  </si>
  <si>
    <t>Manual baseline uses prior target/time; ATM Map includes review of every candidate.</t>
  </si>
  <si>
    <t>Additional review for flagged sites</t>
  </si>
  <si>
    <t>Applied to every record marked Review needed.</t>
  </si>
  <si>
    <t>Reconciliation and export</t>
  </si>
  <si>
    <t>Cross-search review and controlled export.</t>
  </si>
  <si>
    <t>Batch QA and administration</t>
  </si>
  <si>
    <t>Final checks, handoff, and exception administration.</t>
  </si>
  <si>
    <t>Direct workflow minutes</t>
  </si>
  <si>
    <t>Subtotal before overhead.</t>
  </si>
  <si>
    <t>Workflow overhead</t>
  </si>
  <si>
    <t>Allowance for coordination, rework, and interruptions.</t>
  </si>
  <si>
    <t>Estimated analyst hours</t>
  </si>
  <si>
    <t>hours</t>
  </si>
  <si>
    <t>All modeled effort components.</t>
  </si>
  <si>
    <t>Estimated labor cost</t>
  </si>
  <si>
    <t>Uses the editable loaded hourly rate.</t>
  </si>
  <si>
    <t>API AND TOTAL COST</t>
  </si>
  <si>
    <t>Paid API calls</t>
  </si>
  <si>
    <t>whole calls</t>
  </si>
  <si>
    <t>Observed calls per area, rounded up for planning.</t>
  </si>
  <si>
    <t>Gross API cost</t>
  </si>
  <si>
    <t>Shown before any monthly free usage is allocated.</t>
  </si>
  <si>
    <t>Monthly free events allocated</t>
  </si>
  <si>
    <t>events</t>
  </si>
  <si>
    <t>Defaults to zero; allocate only when available to this planning cycle.</t>
  </si>
  <si>
    <t>Allocated free-usage credit</t>
  </si>
  <si>
    <t>Shown separately from gross API cost.</t>
  </si>
  <si>
    <t>Net API cost</t>
  </si>
  <si>
    <t>Gross API cost less any explicit allocation.</t>
  </si>
  <si>
    <t>TOTAL PLANNED LIST-PRODUCTION COST</t>
  </si>
  <si>
    <t>Labor plus net API cost.</t>
  </si>
  <si>
    <t>Cost per unique site screened</t>
  </si>
  <si>
    <t>Common unit for comparing workflow efficiency.</t>
  </si>
  <si>
    <t>Cost per estimated mail-ready site</t>
  </si>
  <si>
    <t>Depends on qualification mix and review pass rate.</t>
  </si>
  <si>
    <t>Planning difference vs manual baseline</t>
  </si>
  <si>
    <t>Capacity and budget difference between the two planning baselines.</t>
  </si>
  <si>
    <t>Planning inputs</t>
  </si>
  <si>
    <t>Yellow cells are editable scenario inputs. Blue cells link to the source register; gray cells are formulas used throughout the workbook.</t>
  </si>
  <si>
    <t>INPUT</t>
  </si>
  <si>
    <t>VALUE</t>
  </si>
  <si>
    <t>INPUT TYPE</t>
  </si>
  <si>
    <t>SOURCE / CALCULATION</t>
  </si>
  <si>
    <t>unique sites</t>
  </si>
  <si>
    <t>Scenario input</t>
  </si>
  <si>
    <t>editable input</t>
  </si>
  <si>
    <t>Volume for one list-production cycle.</t>
  </si>
  <si>
    <t>Manual activity target</t>
  </si>
  <si>
    <t>sites/day</t>
  </si>
  <si>
    <t>Operating baseline</t>
  </si>
  <si>
    <t>manual_target_per_day</t>
  </si>
  <si>
    <t>Prior daily list-building target.</t>
  </si>
  <si>
    <t>Manual prospecting time</t>
  </si>
  <si>
    <t>hours/day</t>
  </si>
  <si>
    <t>manual_hours_per_day</t>
  </si>
  <si>
    <t>Time assigned to manual prospecting.</t>
  </si>
  <si>
    <t>Manual minutes per site</t>
  </si>
  <si>
    <t>minutes/site</t>
  </si>
  <si>
    <t>Formula</t>
  </si>
  <si>
    <t>time ÷ target</t>
  </si>
  <si>
    <t>Daily prospecting time ÷ daily target.</t>
  </si>
  <si>
    <t>Analyst loaded cost</t>
  </si>
  <si>
    <t>$/hour</t>
  </si>
  <si>
    <t>Planning rate; replace with the employer standard when available.</t>
  </si>
  <si>
    <t>MAP YIELD AND QUALIFICATION</t>
  </si>
  <si>
    <t>Mapped observations per completed area</t>
  </si>
  <si>
    <t>observations/area</t>
  </si>
  <si>
    <t>Completed market run</t>
  </si>
  <si>
    <t>val_results_per_search</t>
  </si>
  <si>
    <t>Average across 21 completed Los Angeles grid areas.</t>
  </si>
  <si>
    <t>API calls per completed area</t>
  </si>
  <si>
    <t>calls/area</t>
  </si>
  <si>
    <t>val_calls_per_search</t>
  </si>
  <si>
    <t>Observed average; total planned calls are rounded up.</t>
  </si>
  <si>
    <t>Ready share</t>
  </si>
  <si>
    <t>share</t>
  </si>
  <si>
    <t>1089 / 1856</t>
  </si>
  <si>
    <t>Ready share across the completed market run.</t>
  </si>
  <si>
    <t>Review-needed share</t>
  </si>
  <si>
    <t>456 / 1856</t>
  </si>
  <si>
    <t>Review-needed share across the completed market run.</t>
  </si>
  <si>
    <t>Not-currently-viable share</t>
  </si>
  <si>
    <t>311 / 1856</t>
  </si>
  <si>
    <t>Not-currently-viable share across the completed market run.</t>
  </si>
  <si>
    <t>Cross-search duplicate / overlap rate</t>
  </si>
  <si>
    <t>val_overlap_rate</t>
  </si>
  <si>
    <t>Observed repeats across neighboring market-search areas.</t>
  </si>
  <si>
    <t>Review-needed pass rate</t>
  </si>
  <si>
    <t>Share of Review-needed records expected to become outreach-ready.</t>
  </si>
  <si>
    <t>Base review time for every unique site</t>
  </si>
  <si>
    <t>seconds/site</t>
  </si>
  <si>
    <t>Initial review of each unique mapped candidate.</t>
  </si>
  <si>
    <t>Additional review for Review needed</t>
  </si>
  <si>
    <t>minutes/flagged site</t>
  </si>
  <si>
    <t>Extra time for each Review-needed record.</t>
  </si>
  <si>
    <t>Search setup / monitoring</t>
  </si>
  <si>
    <t>minutes/search</t>
  </si>
  <si>
    <t>Area selection and run monitoring.</t>
  </si>
  <si>
    <t>Batch QA / administration</t>
  </si>
  <si>
    <t>hours/batch</t>
  </si>
  <si>
    <t>Final QA, handoff, and exception administration.</t>
  </si>
  <si>
    <t>share of direct minutes</t>
  </si>
  <si>
    <t>Coordination, rework, interruptions, and other workflow overhead.</t>
  </si>
  <si>
    <t>PROVIDER PRICING</t>
  </si>
  <si>
    <t>Text Search Enterprise price</t>
  </si>
  <si>
    <t>$/1,000 events</t>
  </si>
  <si>
    <t>Published price</t>
  </si>
  <si>
    <t>api_text_search_price</t>
  </si>
  <si>
    <t>Google Maps Platform global pay-as-you-go first tier; reviewed 2026-09-03.</t>
  </si>
  <si>
    <t>Monthly free usage cap</t>
  </si>
  <si>
    <t>events/month</t>
  </si>
  <si>
    <t>Published allowance</t>
  </si>
  <si>
    <t>api_monthly_free_cap</t>
  </si>
  <si>
    <t>Monthly free usage cap for this Enterprise SKU.</t>
  </si>
  <si>
    <t>Free allowance allocated to scenario</t>
  </si>
  <si>
    <t>Defaults to 0%; allocate only when the allowance is available to this cycle.</t>
  </si>
  <si>
    <t>Scenario range and sensitivity</t>
  </si>
  <si>
    <t>Shows how area yield, overlap, review time, and exception handling change the effort and cost required to screen the same number of unique sites.</t>
  </si>
  <si>
    <t>SCENARIO INPUT / OUTPUT</t>
  </si>
  <si>
    <t>HIGH EFFORT</t>
  </si>
  <si>
    <t>BASE CASE</t>
  </si>
  <si>
    <t>LOW EFFORT</t>
  </si>
  <si>
    <t>SCENARIO INPUTS</t>
  </si>
  <si>
    <t>Mapped observations per area</t>
  </si>
  <si>
    <t>High- and low-effort yields use the observed lower and upper quartiles; Base uses all completed areas.</t>
  </si>
  <si>
    <t>Cross-search overlap</t>
  </si>
  <si>
    <t>Base is measured cross-area overlap; outer cases test a wider planning range.</t>
  </si>
  <si>
    <t>Base review seconds/site</t>
  </si>
  <si>
    <t>First-pass review effort for every candidate.</t>
  </si>
  <si>
    <t>Share requiring an additional human check.</t>
  </si>
  <si>
    <t>Review-needed minutes</t>
  </si>
  <si>
    <t>Extra review time for flagged records.</t>
  </si>
  <si>
    <t>Search setup minutes</t>
  </si>
  <si>
    <t>Area setup and run monitoring.</t>
  </si>
  <si>
    <t>Reconcile/export minutes/search</t>
  </si>
  <si>
    <t>Cross-run review and export.</t>
  </si>
  <si>
    <t>Coordination, rework, and interruptions.</t>
  </si>
  <si>
    <t>Share of flagged records that become outreach-ready.</t>
  </si>
  <si>
    <t>SCENARIO OUTPUTS</t>
  </si>
  <si>
    <t>Completed searches</t>
  </si>
  <si>
    <t>Whole searches required to cover the target.</t>
  </si>
  <si>
    <t>Paid search calls</t>
  </si>
  <si>
    <t>Whole API calls required.</t>
  </si>
  <si>
    <t>Search, review, reconciliation, QA, and overhead.</t>
  </si>
  <si>
    <t>Gross provider cost</t>
  </si>
  <si>
    <t>Before monthly free usage is allocated.</t>
  </si>
  <si>
    <t>Total workflow cost</t>
  </si>
  <si>
    <t>Analyst labor plus gross API cost.</t>
  </si>
  <si>
    <t>Comparable unit cost across scenarios.</t>
  </si>
  <si>
    <t>Ready records plus flagged records that pass review.</t>
  </si>
  <si>
    <t>Cost after the qualification funnel.</t>
  </si>
  <si>
    <t>Capacity and budget difference between planning baselines.</t>
  </si>
  <si>
    <t>TWO-WAY SENSITIVITY — COST PER UNIQUE SITE</t>
  </si>
  <si>
    <t>REVIEW SEC / OBSERVATIONS PER AREA</t>
  </si>
  <si>
    <t>Planning insight</t>
  </si>
  <si>
    <t>Review effort remains the largest modeled cost driver. Search yield and overlap now use the completed market run; update yellow inputs as operating conditions change.</t>
  </si>
  <si>
    <t>Campaign outcome tracker</t>
  </si>
  <si>
    <t>Complete this sheet after a campaign closes to connect list production, outreach, contracts, and total acquisition cost.</t>
  </si>
  <si>
    <t>CAMPAIGN INPUT</t>
  </si>
  <si>
    <t>UNIT / STATUS</t>
  </si>
  <si>
    <t>DEFINITION</t>
  </si>
  <si>
    <t>REQUIRED?</t>
  </si>
  <si>
    <t>NOTES</t>
  </si>
  <si>
    <t>Campaign start date</t>
  </si>
  <si>
    <t>Enter date</t>
  </si>
  <si>
    <t>First outreach date</t>
  </si>
  <si>
    <t>Required</t>
  </si>
  <si>
    <t>Measurement close date</t>
  </si>
  <si>
    <t>Date used to close the reporting window</t>
  </si>
  <si>
    <t>Campaign / mailing-batch ID</t>
  </si>
  <si>
    <t>Enter ID</t>
  </si>
  <si>
    <t>Code carried through list, outreach, response, and agreement records</t>
  </si>
  <si>
    <t>Unique sites screened</t>
  </si>
  <si>
    <t>Enter count</t>
  </si>
  <si>
    <t>Reconciled distinct physical sites</t>
  </si>
  <si>
    <t>Ready after review</t>
  </si>
  <si>
    <t>Sites approved for outreach</t>
  </si>
  <si>
    <t>Actual analyst research hours</t>
  </si>
  <si>
    <t>Enter hours</t>
  </si>
  <si>
    <t>Time record for search, review, reconcile, export, QA</t>
  </si>
  <si>
    <t>Actual loaded analyst cost</t>
  </si>
  <si>
    <t>Enter $/hour</t>
  </si>
  <si>
    <t>Finance-approved rate</t>
  </si>
  <si>
    <t>Actual API invoice allocation</t>
  </si>
  <si>
    <t>Enter $</t>
  </si>
  <si>
    <t>Campaign share of provider charges after approved account-level credits</t>
  </si>
  <si>
    <t>Pieces mailed</t>
  </si>
  <si>
    <t>Dated vendor/campaign count</t>
  </si>
  <si>
    <t>Print/postage invoice</t>
  </si>
  <si>
    <t>Actual invoice, not unit estimate</t>
  </si>
  <si>
    <t>Mailing vendor/setup cost</t>
  </si>
  <si>
    <t>Data prep, printing setup, list/vendor fees</t>
  </si>
  <si>
    <t>BD follow-up hours</t>
  </si>
  <si>
    <t>Time responding, qualifying, negotiating</t>
  </si>
  <si>
    <t>BD loaded cost</t>
  </si>
  <si>
    <t>Onboarding / equipment / other campaign cost</t>
  </si>
  <si>
    <t>Other costs attributable through the signed or productive outcome</t>
  </si>
  <si>
    <t>Responses</t>
  </si>
  <si>
    <t>Unique attributable responses</t>
  </si>
  <si>
    <t>Qualified conversations</t>
  </si>
  <si>
    <t>Responses meeting a locked qualification rule</t>
  </si>
  <si>
    <t>Signed contracts</t>
  </si>
  <si>
    <t>Executed agreements attributable to cohort</t>
  </si>
  <si>
    <t>Productive sites</t>
  </si>
  <si>
    <t>Signed sites reaching agreed productive-state definition</t>
  </si>
  <si>
    <t>CALCULATED CAMPAIGN KPIs</t>
  </si>
  <si>
    <t>OUTCOME KPI</t>
  </si>
  <si>
    <t>RESULT</t>
  </si>
  <si>
    <t>WHAT IT SHOWS</t>
  </si>
  <si>
    <t>DATA NEEDED</t>
  </si>
  <si>
    <t>STATUS</t>
  </si>
  <si>
    <t>$</t>
  </si>
  <si>
    <t>Research labor plus allocated provider cost.</t>
  </si>
  <si>
    <t>All three actual inputs required.</t>
  </si>
  <si>
    <t>BD labor cost</t>
  </si>
  <si>
    <t>Follow-up labor after outreach.</t>
  </si>
  <si>
    <t>Actual time and rate required.</t>
  </si>
  <si>
    <t>TOTAL campaign acquisition cost</t>
  </si>
  <si>
    <t>List production, mail/vendor, BD follow-up, and onboarding/other campaign costs.</t>
  </si>
  <si>
    <t>Use for total campaign CAC.</t>
  </si>
  <si>
    <t>Response rate</t>
  </si>
  <si>
    <t>%</t>
  </si>
  <si>
    <t>Responses ÷ pieces mailed.</t>
  </si>
  <si>
    <t>Dated numerator and denominator.</t>
  </si>
  <si>
    <t>Ready-to-response conversion</t>
  </si>
  <si>
    <t>Responses ÷ outreach-ready sites.</t>
  </si>
  <si>
    <t>Consistent campaign definition.</t>
  </si>
  <si>
    <t>Response-to-signed conversion</t>
  </si>
  <si>
    <t>Signed contracts ÷ responses.</t>
  </si>
  <si>
    <t>Attribution rule required.</t>
  </si>
  <si>
    <t>Mailing-only cost per signed contract</t>
  </si>
  <si>
    <t>Print/postage plus mailing vendor cost per signed contract.</t>
  </si>
  <si>
    <t>Label as mailing-only.</t>
  </si>
  <si>
    <t>TOTAL CAC per signed contract</t>
  </si>
  <si>
    <t>Total cohort acquisition cost ÷ signed contracts.</t>
  </si>
  <si>
    <t>Primary acquisition-cost KPI.</t>
  </si>
  <si>
    <t>Cost per productive site</t>
  </si>
  <si>
    <t>Total cohort acquisition cost ÷ productive sites.</t>
  </si>
  <si>
    <t>Define productive state and window.</t>
  </si>
  <si>
    <t>Signed-to-productive conversion</t>
  </si>
  <si>
    <t>Productive sites ÷ signed contracts.</t>
  </si>
  <si>
    <t>Close reporting after sufficient maturity.</t>
  </si>
  <si>
    <t>Inputs and sources</t>
  </si>
  <si>
    <t>Reference values used by the planning model, with stable lookup keys, source dates, and notes on how each value is used.</t>
  </si>
  <si>
    <t>SOURCE KEY</t>
  </si>
  <si>
    <t>AS OF</t>
  </si>
  <si>
    <t>SOURCE</t>
  </si>
  <si>
    <t>USE IN MODEL</t>
  </si>
  <si>
    <t>2026-08-31</t>
  </si>
  <si>
    <t>Prior operating workflow</t>
  </si>
  <si>
    <t>Manual list-building target used for the planning baseline.</t>
  </si>
  <si>
    <t>Time assigned to prospecting</t>
  </si>
  <si>
    <t>Time assigned to manual prospecting in the prior workflow.</t>
  </si>
  <si>
    <t>2026-09-04</t>
  </si>
  <si>
    <t>run-20260904-024050-et</t>
  </si>
  <si>
    <t>1,961 observations across 21 completed areas.</t>
  </si>
  <si>
    <t>224 calls across 21 completed areas.</t>
  </si>
  <si>
    <t>val_ready_count</t>
  </si>
  <si>
    <t>primary Place-ID records</t>
  </si>
  <si>
    <t>Current qualification output</t>
  </si>
  <si>
    <t>Meets the current outreach-ready rule.</t>
  </si>
  <si>
    <t>val_verify_count</t>
  </si>
  <si>
    <t>Requires a human check before outreach; verified records can move to Ready.</t>
  </si>
  <si>
    <t>val_not_viable_count</t>
  </si>
  <si>
    <t>Does not currently meet the outreach rule.</t>
  </si>
  <si>
    <t>val_bucket_total</t>
  </si>
  <si>
    <t>Qualification control total</t>
  </si>
  <si>
    <t>Control total</t>
  </si>
  <si>
    <t>Ready + Review needed + Not currently viable; Place-ID deduplication does not prove distinct physical sites.</t>
  </si>
  <si>
    <t>Cross-area repeat rate</t>
  </si>
  <si>
    <t>105 repeat observations removed from 1,961 observations.</t>
  </si>
  <si>
    <t>Places API Text Search Enterprise</t>
  </si>
  <si>
    <t>2026-09-03</t>
  </si>
  <si>
    <t>Google Maps Platform pricing</t>
  </si>
  <si>
    <t>Global pay-as-you-go first tier; recheck when budgeting.</t>
  </si>
  <si>
    <t>Places API Text Search Enterprise free usage</t>
  </si>
  <si>
    <t>Monthly free usage cap for this Enterprise SKU; allocation is handled separately.</t>
  </si>
  <si>
    <t>cloud_request_count</t>
  </si>
  <si>
    <t>Google Cloud request count</t>
  </si>
  <si>
    <t>requests</t>
  </si>
  <si>
    <t>Console reconciliation</t>
  </si>
  <si>
    <t>Google Cloud console</t>
  </si>
  <si>
    <t>Matches the isolated application ledger for the completed run.</t>
  </si>
  <si>
    <t>cloud_error_events</t>
  </si>
  <si>
    <t>Google Cloud error events</t>
  </si>
  <si>
    <t>Console observation</t>
  </si>
  <si>
    <t>Attempted areas completed at application level; retain for provider-error review.</t>
  </si>
  <si>
    <t>market_run_call_cap</t>
  </si>
  <si>
    <t>Approved market-run call cap</t>
  </si>
  <si>
    <t>calls</t>
  </si>
  <si>
    <t>Pre-registered run control</t>
  </si>
  <si>
    <t>Hard ceiling for the bounded market run.</t>
  </si>
  <si>
    <t>Technical results</t>
  </si>
  <si>
    <t>Formula summaries and charts connect the focused controls with the completed 21-area market run, cache reuse, qualification, and spatial filtering.</t>
  </si>
  <si>
    <t>Search yield and cache reuse</t>
  </si>
  <si>
    <t>TEST GROUP</t>
  </si>
  <si>
    <t>VARIANT</t>
  </si>
  <si>
    <t>ROWS</t>
  </si>
  <si>
    <t>TOTAL RESULTS</t>
  </si>
  <si>
    <t>TOTAL CALLS</t>
  </si>
  <si>
    <t>AVG RESULTS / CALL</t>
  </si>
  <si>
    <t>Density</t>
  </si>
  <si>
    <t>Cold</t>
  </si>
  <si>
    <t>Warm</t>
  </si>
  <si>
    <t>Saturation</t>
  </si>
  <si>
    <t>Cold search by market</t>
  </si>
  <si>
    <t>CASE ID</t>
  </si>
  <si>
    <t>MARKET</t>
  </si>
  <si>
    <t>RESULTS</t>
  </si>
  <si>
    <t>CALLS</t>
  </si>
  <si>
    <t>RESULTS / CALL</t>
  </si>
  <si>
    <t>REPEAT RESULT DIGEST</t>
  </si>
  <si>
    <t>sparse_barstow</t>
  </si>
  <si>
    <t>Barstow</t>
  </si>
  <si>
    <t>medium_riverside</t>
  </si>
  <si>
    <t>Riverside</t>
  </si>
  <si>
    <t>dense_downtown_la</t>
  </si>
  <si>
    <t>Downtown Los Angeles</t>
  </si>
  <si>
    <t>saturation_downtown_la_convenience</t>
  </si>
  <si>
    <t>Downtown LA saturation</t>
  </si>
  <si>
    <t>Current market-run qualification mix</t>
  </si>
  <si>
    <t>BUCKET</t>
  </si>
  <si>
    <t>COUNT</t>
  </si>
  <si>
    <t>SHARE</t>
  </si>
  <si>
    <t>WHAT IT MEANS</t>
  </si>
  <si>
    <t>Ready</t>
  </si>
  <si>
    <t>Requires a human check; verified records can move to Ready.</t>
  </si>
  <si>
    <t>CONTROL TOTAL</t>
  </si>
  <si>
    <t>Spatial filtering check</t>
  </si>
  <si>
    <t>MODE</t>
  </si>
  <si>
    <t>TESTS</t>
  </si>
  <si>
    <t>OUTSIDE RECT</t>
  </si>
  <si>
    <t>OUTSIDE RECT SHARE</t>
  </si>
  <si>
    <t>Bias</t>
  </si>
  <si>
    <t>Restriction</t>
  </si>
  <si>
    <t>Completed market run · 2026-09-04</t>
  </si>
  <si>
    <t>EVIDENCE</t>
  </si>
  <si>
    <t>OPERATIONAL READING</t>
  </si>
  <si>
    <t>Completed areas</t>
  </si>
  <si>
    <t>of 25</t>
  </si>
  <si>
    <t>Run ledger</t>
  </si>
  <si>
    <t>Four remaining areas were not started after the call guard reserved the final call.</t>
  </si>
  <si>
    <t>Unique returned primary Place IDs</t>
  </si>
  <si>
    <t>records</t>
  </si>
  <si>
    <t>Place-ID deduplication</t>
  </si>
  <si>
    <t>Reduced 1,961 observations to a reusable market list; this does not by itself prove distinct physical sites.</t>
  </si>
  <si>
    <t>API calls</t>
  </si>
  <si>
    <t>Ledger + operator-recorded Cloud count</t>
  </si>
  <si>
    <t>The application ledger matched the Google Cloud request count; eight aggregate error events remained unclassified.</t>
  </si>
  <si>
    <t>Gross searched area</t>
  </si>
  <si>
    <t>km²</t>
  </si>
  <si>
    <t>Completed circles</t>
  </si>
  <si>
    <t>Gross circle area; neighboring-circle overlap is retained in this coverage measure.</t>
  </si>
  <si>
    <t>Unique primary Place IDs per call</t>
  </si>
  <si>
    <t>records/call</t>
  </si>
  <si>
    <t>Derived</t>
  </si>
  <si>
    <t>Observed record throughput across the completed run.</t>
  </si>
  <si>
    <t>Cell runtime</t>
  </si>
  <si>
    <t>4.30 / 8.16</t>
  </si>
  <si>
    <t>median / p95 sec</t>
  </si>
  <si>
    <t>Run timing</t>
  </si>
  <si>
    <t>Interactive search latency across completed areas.</t>
  </si>
  <si>
    <t>Warm repeat controls</t>
  </si>
  <si>
    <t>4 / 4</t>
  </si>
  <si>
    <t>matched</t>
  </si>
  <si>
    <t>Cache controls</t>
  </si>
  <si>
    <t>Identical candidate digests returned with zero new provider calls.</t>
  </si>
  <si>
    <t>Manual category review</t>
  </si>
  <si>
    <t>48 / 50</t>
  </si>
  <si>
    <t>plausible</t>
  </si>
  <si>
    <t>Deterministic sample</t>
  </si>
  <si>
    <t>Two category mismatches were retained as data-quality findings.</t>
  </si>
  <si>
    <t>Technical search validation</t>
  </si>
  <si>
    <t>Recorded search variants used to check market yield, cache behavior, and spatial filtering in the current implementation.</t>
  </si>
  <si>
    <t>MARKET / LABEL</t>
  </si>
  <si>
    <t>RADIUS M</t>
  </si>
  <si>
    <t>SEGMENTS / QUERY</t>
  </si>
  <si>
    <t>API CALLS</t>
  </si>
  <si>
    <t>CACHE HITS</t>
  </si>
  <si>
    <t>TILES</t>
  </si>
  <si>
    <t>TRUNCATED</t>
  </si>
  <si>
    <t>OUTSIDE CIRCLE</t>
  </si>
  <si>
    <t>FARTHEST M</t>
  </si>
  <si>
    <t>RESULT DIGEST</t>
  </si>
  <si>
    <t>RUN ID / AS OF</t>
  </si>
  <si>
    <t>EVIDENCE STATUS</t>
  </si>
  <si>
    <t>Barstow, CA</t>
  </si>
  <si>
    <t>smoke, liquor, gas, laundromat, convenience</t>
  </si>
  <si>
    <t>None</t>
  </si>
  <si>
    <t>682ec3f93e92de70306445e4dc08c540f1b9e26fe26df9fffcaf72fb0a067eb7</t>
  </si>
  <si>
    <t>run-20260831-212343-et</t>
  </si>
  <si>
    <t>Current technical check</t>
  </si>
  <si>
    <t>Riverside, CA</t>
  </si>
  <si>
    <t>da09696c191bd4e71cfdc3274c5d1456991855d6100f2c19a907ab921c852398</t>
  </si>
  <si>
    <t>Downtown Los Angeles, CA</t>
  </si>
  <si>
    <t>f9c7bfec15cc98a8a4ed7daacf92d5cc49ae95508bd6f377ee8409ed3c95f901</t>
  </si>
  <si>
    <t>Downtown Los Angeles 5 km convenience saturation probe</t>
  </si>
  <si>
    <t>convenience</t>
  </si>
  <si>
    <t>849e05c31ce30a6847a7f67a1237d1a4ecb0ed01d4ad0f1e753502962d0397cf</t>
  </si>
  <si>
    <t>Spatial A/B</t>
  </si>
  <si>
    <t>la_convenience</t>
  </si>
  <si>
    <t>Downtown Los Angeles / convenience</t>
  </si>
  <si>
    <t>convenience store mini mart</t>
  </si>
  <si>
    <t>riverside_gas</t>
  </si>
  <si>
    <t>Riverside / gas</t>
  </si>
  <si>
    <t>gas station</t>
  </si>
  <si>
    <t>koreatown_liquor</t>
  </si>
  <si>
    <t>Koreatown / liquor</t>
  </si>
  <si>
    <t>liquor store wine spirits</t>
  </si>
  <si>
    <t>Market grid</t>
  </si>
  <si>
    <t>r1c1</t>
  </si>
  <si>
    <t>Los Angeles grid</t>
  </si>
  <si>
    <t>bd5fb2e818b8a3d450b47f9a30e2d9fef8eb0e0709dd372ee5cdb04b0b2e67ec</t>
  </si>
  <si>
    <t>r1c2</t>
  </si>
  <si>
    <t>ba675a958493a5466c3c99a6f92a705abfc32d0c3703808a360d2f52d045fb7d</t>
  </si>
  <si>
    <t>r1c3</t>
  </si>
  <si>
    <t>e3a5a405552c16de37cc3a8a73b5ba72561ecd2c56095711a7f3c94005f13a73</t>
  </si>
  <si>
    <t>r1c4</t>
  </si>
  <si>
    <t>78e2350dd9560fa87c5b650d739217f37c4a8f7151b2935006a0171ef7ac33f7</t>
  </si>
  <si>
    <t>r1c5</t>
  </si>
  <si>
    <t>150def406cb492cb5bae2ab675aeebea8e6bd2b8255777e60a42e5209463a23d</t>
  </si>
  <si>
    <t>r2c1</t>
  </si>
  <si>
    <t>6d47ed875d14583b82c24182dfea08c9bfa98b9a474affae0e9e234a7b5781f9</t>
  </si>
  <si>
    <t>r2c2</t>
  </si>
  <si>
    <t>4cb668e4983321c2e1786fe4a397d0bc964b59eb6bc1107f7f3f9cedfc2ce4a1</t>
  </si>
  <si>
    <t>r2c3</t>
  </si>
  <si>
    <t>7cdc7ed7618981e8114801abf1a2e59274c96fbc431e842d73a40b7f65b143b1</t>
  </si>
  <si>
    <t>r2c4</t>
  </si>
  <si>
    <t>6f9c73f41ff798bd5163618a2a2ad0ee95992deb3d18db956d08afa459a74310</t>
  </si>
  <si>
    <t>r2c5</t>
  </si>
  <si>
    <t>c60c6b2f66c01dbc824fcdca06a1d8ae8532071dba3a0bc1e3a1358f5b143c1c</t>
  </si>
  <si>
    <t>r3c1</t>
  </si>
  <si>
    <t>02fee1f06e504ad12215e18bc64c8bc2c4334240cdab08c443db92b7e7ccd8dd</t>
  </si>
  <si>
    <t>r3c2</t>
  </si>
  <si>
    <t>70ecba610aab5183ddb04763656f1c7c65d1a02d0f8b2745c49750d8a59413d7</t>
  </si>
  <si>
    <t>r3c3</t>
  </si>
  <si>
    <t>2ccc0a21a88ab5b27567be92cd7810e5dac7f58fd3108f5fbb929ade54702eae</t>
  </si>
  <si>
    <t>r3c4</t>
  </si>
  <si>
    <t>b2408051151cf5b69010f30fb452af377691a8907013ac5bc00756ba0f7f5de9</t>
  </si>
  <si>
    <t>r3c5</t>
  </si>
  <si>
    <t>9cc081c548ccac5a533a50c37eb038edd5ae961c0f0dd5223d44b8a050b1c90b</t>
  </si>
  <si>
    <t>r4c1</t>
  </si>
  <si>
    <t>1559d1401f69728b081cb050efcdf20fbca8e2f021b1837265638727e0f23cbd</t>
  </si>
  <si>
    <t>r4c2</t>
  </si>
  <si>
    <t>b70790fe73991d22c875841ef0fa82a144ace0903854e5d3c7479a5a333a7051</t>
  </si>
  <si>
    <t>r4c3</t>
  </si>
  <si>
    <t>046e10a24e3022266c797bddc09931ec50921530480806250c9f0a096829ba81</t>
  </si>
  <si>
    <t>r4c4</t>
  </si>
  <si>
    <t>6b3fdddaac2251010a1f1d8f57a888614f9a026ce55c3c11ea9d978e8d014dfb</t>
  </si>
  <si>
    <t>r4c5</t>
  </si>
  <si>
    <t>584b9956382e072e175c676eb0e69d9a5b00b9a1f6281e1f612435a49a76db68</t>
  </si>
  <si>
    <t>r5c1</t>
  </si>
  <si>
    <t>d82e5c31f23899dc898e07b77f860c38b8aaa7c33c0f08a8595257fda23379d1</t>
  </si>
  <si>
    <t>Cache replay control</t>
  </si>
  <si>
    <t>Validation PivotTable</t>
  </si>
  <si>
    <t>Summarizes the Technical search validation table by test group and run type. Refresh after changing the source rows.</t>
  </si>
  <si>
    <t>Rows: test group · Columns: run type · Values: mapped results and API calls</t>
  </si>
  <si>
    <t>Values</t>
  </si>
  <si>
    <t>Total Sum of Results</t>
  </si>
  <si>
    <t>Total Sum of API Calls</t>
  </si>
  <si>
    <t>Sum of Results</t>
  </si>
  <si>
    <t>Sum of API Calls</t>
  </si>
  <si>
    <t>Grand Total</t>
  </si>
  <si>
    <t>Model checks</t>
  </si>
  <si>
    <t>Formula checks confirm that funnel totals, usage, pricing, and costs remain internally consistent.</t>
  </si>
  <si>
    <t>CHECK ID</t>
  </si>
  <si>
    <t>CHECK</t>
  </si>
  <si>
    <t>ACTUAL</t>
  </si>
  <si>
    <t>EXPECTED</t>
  </si>
  <si>
    <t>IF IT FAILS</t>
  </si>
  <si>
    <t>QA-01</t>
  </si>
  <si>
    <t>Source bucket counts sum to source total</t>
  </si>
  <si>
    <t>Review source register/bucket import.</t>
  </si>
  <si>
    <t>QA-02</t>
  </si>
  <si>
    <t>Classification shares sum to 100%</t>
  </si>
  <si>
    <t>Correct share formulas.</t>
  </si>
  <si>
    <t>QA-03</t>
  </si>
  <si>
    <t>Qualification stages sum to screened target</t>
  </si>
  <si>
    <t>Review Ready / Review needed / Not currently viable formulas.</t>
  </si>
  <si>
    <t>QA-04</t>
  </si>
  <si>
    <t>Completed searches are a whole number</t>
  </si>
  <si>
    <t>Use ROUNDUP.</t>
  </si>
  <si>
    <t>QA-05</t>
  </si>
  <si>
    <t>Paid calls are a whole number</t>
  </si>
  <si>
    <t>Searches × calls/search must be integer.</t>
  </si>
  <si>
    <t>QA-06</t>
  </si>
  <si>
    <t>Estimated returned primary Place IDs meet planning target</t>
  </si>
  <si>
    <t>Increase searches or revise overlap/yield.</t>
  </si>
  <si>
    <t>QA-07</t>
  </si>
  <si>
    <t>Net provider cost equals gross less credit</t>
  </si>
  <si>
    <t>Review credit allocation.</t>
  </si>
  <si>
    <t>QA-08</t>
  </si>
  <si>
    <t>Tool total equals labor plus net provider</t>
  </si>
  <si>
    <t>Review cost component formulas.</t>
  </si>
  <si>
    <t>QA-09</t>
  </si>
  <si>
    <t>Free allocation does not exceed scenario calls</t>
  </si>
  <si>
    <t>Cap allocated events at calls.</t>
  </si>
  <si>
    <t>QA-10</t>
  </si>
  <si>
    <t>Raw density/saturation warm calls are zero</t>
  </si>
  <si>
    <t>Review cache repeat evidence.</t>
  </si>
  <si>
    <t>QA-11</t>
  </si>
  <si>
    <t>Spatial restriction results outside rectangle</t>
  </si>
  <si>
    <t>Review restriction test import.</t>
  </si>
  <si>
    <t>QA-12</t>
  </si>
  <si>
    <t>Source lookup for price returns published value</t>
  </si>
  <si>
    <t>Review source key/reference.</t>
  </si>
  <si>
    <t>QA-13</t>
  </si>
  <si>
    <t>Outcome tracker remains separate from the planning model</t>
  </si>
  <si>
    <t>When populated, confirm campaign dates and ID before reporting KPIs.</t>
  </si>
  <si>
    <t>QA-14</t>
  </si>
  <si>
    <t>Market-run ledger matches the operator-recorded Google Cloud count</t>
  </si>
  <si>
    <t>Reconcile run ledger and Cloud Console export.</t>
  </si>
  <si>
    <t>QA-15</t>
  </si>
  <si>
    <t>Market run remains within the approved call cap</t>
  </si>
  <si>
    <t>Confirm the pre-run cap and call ledger.</t>
  </si>
  <si>
    <t>MODEL STATUS</t>
  </si>
  <si>
    <t>What PASS means</t>
  </si>
  <si>
    <t>The model reconciles to its inputs. Record actual campaign outcomes separately on Outcome plan.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</si>
</sst>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&quot;$&quot;#,##0.00"/>
    <numFmt numFmtId="180" formatCode="&quot;$&quot;#,##0.00"/>
    <numFmt numFmtId="181" formatCode="0.0"/>
    <numFmt numFmtId="182" formatCode="&quot;$&quot;0.00"/>
    <numFmt numFmtId="183" formatCode="#,##0.0"/>
    <numFmt numFmtId="184" formatCode="&quot;$&quot;#,##0"/>
  </numFmts>
  <fonts count="43">
    <font>
      <sz val="11"/>
      <color theme="1"/>
      <name val="Calibri"/>
      <charset val="134"/>
      <scheme val="minor"/>
    </font>
    <font>
      <b/>
      <sz val="22"/>
      <color rgb="FF12345A"/>
      <name val="Aptos Display"/>
      <charset val="134"/>
    </font>
    <font>
      <sz val="10"/>
      <color rgb="FF5B6877"/>
      <name val="Aptos"/>
      <charset val="134"/>
    </font>
    <font>
      <b/>
      <sz val="8.5"/>
      <color rgb="FFFFFFFF"/>
      <name val="Aptos"/>
      <charset val="134"/>
    </font>
    <font>
      <sz val="8.5"/>
      <color rgb="FF172334"/>
      <name val="Aptos"/>
      <charset val="134"/>
    </font>
    <font>
      <b/>
      <sz val="9"/>
      <color rgb="FF12345A"/>
      <name val="Aptos"/>
      <charset val="134"/>
    </font>
    <font>
      <sz val="9"/>
      <color rgb="FF12345A"/>
      <name val="Aptos"/>
      <charset val="134"/>
    </font>
    <font>
      <sz val="9"/>
      <color rgb="FF5B6877"/>
      <name val="Aptos"/>
      <charset val="134"/>
    </font>
    <font>
      <sz val="8"/>
      <color rgb="FF172334"/>
      <name val="Aptos"/>
      <charset val="134"/>
    </font>
    <font>
      <sz val="12"/>
      <color theme="10"/>
      <name val="Calibri"/>
      <charset val="134"/>
      <scheme val="minor"/>
    </font>
    <font>
      <sz val="12"/>
      <color theme="10"/>
      <name val="Calibri"/>
      <charset val="134"/>
      <scheme val="minor"/>
    </font>
    <font>
      <b/>
      <sz val="8.5"/>
      <color rgb="FF5B6877"/>
      <name val="Aptos"/>
      <charset val="134"/>
    </font>
    <font>
      <b/>
      <sz val="9"/>
      <color rgb="FF172334"/>
      <name val="Aptos"/>
      <charset val="134"/>
    </font>
    <font>
      <b/>
      <sz val="9"/>
      <color rgb="FF168B8C"/>
      <name val="Aptos"/>
      <charset val="134"/>
    </font>
    <font>
      <b/>
      <sz val="10"/>
      <color rgb="FF168B8C"/>
      <name val="Aptos"/>
      <charset val="134"/>
    </font>
    <font>
      <b/>
      <sz val="8.5"/>
      <color rgb="FF12345A"/>
      <name val="Aptos"/>
      <charset val="134"/>
    </font>
    <font>
      <b/>
      <sz val="8.5"/>
      <color rgb="FF168B8C"/>
      <name val="Aptos"/>
      <charset val="134"/>
    </font>
    <font>
      <b/>
      <sz val="21"/>
      <color rgb="FF12345A"/>
      <name val="Aptos Display"/>
      <charset val="134"/>
    </font>
    <font>
      <b/>
      <sz val="21"/>
      <color rgb="FF168B8C"/>
      <name val="Aptos Display"/>
      <charset val="134"/>
    </font>
    <font>
      <sz val="8.5"/>
      <color rgb="FF5B6877"/>
      <name val="Aptos"/>
      <charset val="134"/>
    </font>
    <font>
      <b/>
      <sz val="10"/>
      <color rgb="FFFFFFFF"/>
      <name val="Aptos"/>
      <charset val="134"/>
    </font>
    <font>
      <sz val="9"/>
      <color rgb="FF172334"/>
      <name val="Aptos"/>
      <charset val="134"/>
    </font>
    <font>
      <b/>
      <sz val="10"/>
      <color rgb="FF12345A"/>
      <name val="Aptos"/>
      <charset val="134"/>
    </font>
    <font>
      <sz val="9.5"/>
      <color rgb="FF172334"/>
      <name val="Apto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4568"/>
        <bgColor indexed="64"/>
      </patternFill>
    </fill>
    <fill>
      <patternFill patternType="solid">
        <fgColor rgb="FFE3F3F1"/>
        <bgColor indexed="64"/>
      </patternFill>
    </fill>
    <fill>
      <patternFill patternType="solid">
        <fgColor rgb="FFE7F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68B8C"/>
      </bottom>
      <diagonal/>
    </border>
    <border>
      <left/>
      <right/>
      <top/>
      <bottom style="thin">
        <color rgb="FFD8E2EA"/>
      </bottom>
      <diagonal/>
    </border>
    <border>
      <left/>
      <right/>
      <top style="medium">
        <color rgb="FF168B8C"/>
      </top>
      <bottom style="thin">
        <color rgb="FFD8E2EA"/>
      </bottom>
      <diagonal/>
    </border>
    <border>
      <left/>
      <right/>
      <top/>
      <bottom style="thin">
        <color rgb="FFD5DDE5"/>
      </bottom>
      <diagonal/>
    </border>
    <border>
      <left style="thin">
        <color rgb="FFD8E2EA"/>
      </left>
      <right style="thin">
        <color rgb="FFD8E2EA"/>
      </right>
      <top/>
      <bottom/>
      <diagonal/>
    </border>
    <border>
      <left/>
      <right style="thin">
        <color rgb="FFD8E2EA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9" fillId="0" borderId="0"/>
    <xf numFmtId="0" fontId="24" fillId="0" borderId="0">
      <alignment vertical="center"/>
    </xf>
    <xf numFmtId="0" fontId="0" fillId="10" borderId="7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8">
      <alignment vertical="center"/>
    </xf>
    <xf numFmtId="0" fontId="29" fillId="0" borderId="8">
      <alignment vertical="center"/>
    </xf>
    <xf numFmtId="0" fontId="30" fillId="0" borderId="9">
      <alignment vertical="center"/>
    </xf>
    <xf numFmtId="0" fontId="30" fillId="0" borderId="0">
      <alignment vertical="center"/>
    </xf>
    <xf numFmtId="0" fontId="31" fillId="11" borderId="10">
      <alignment vertical="center"/>
    </xf>
    <xf numFmtId="0" fontId="32" fillId="12" borderId="11">
      <alignment vertical="center"/>
    </xf>
    <xf numFmtId="0" fontId="33" fillId="12" borderId="10">
      <alignment vertical="center"/>
    </xf>
    <xf numFmtId="0" fontId="34" fillId="13" borderId="12">
      <alignment vertical="center"/>
    </xf>
    <xf numFmtId="0" fontId="35" fillId="0" borderId="13">
      <alignment vertical="center"/>
    </xf>
    <xf numFmtId="0" fontId="36" fillId="0" borderId="14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1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41" fillId="34" borderId="0">
      <alignment vertical="center"/>
    </xf>
    <xf numFmtId="0" fontId="41" fillId="35" borderId="0">
      <alignment vertical="center"/>
    </xf>
    <xf numFmtId="0" fontId="40" fillId="36" borderId="0">
      <alignment vertical="center"/>
    </xf>
    <xf numFmtId="0" fontId="40" fillId="37" borderId="0">
      <alignment vertical="center"/>
    </xf>
    <xf numFmtId="0" fontId="41" fillId="38" borderId="0">
      <alignment vertical="center"/>
    </xf>
    <xf numFmtId="0" fontId="41" fillId="39" borderId="0">
      <alignment vertical="center"/>
    </xf>
    <xf numFmtId="0" fontId="40" fillId="40" borderId="0">
      <alignment vertical="center"/>
    </xf>
  </cellStyleXfs>
  <cellXfs count="9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vertical="top" wrapText="1"/>
    </xf>
    <xf numFmtId="178" fontId="4" fillId="0" borderId="2" xfId="0" applyNumberFormat="1" applyFont="1" applyBorder="1" applyAlignment="1">
      <alignment vertical="top" wrapText="1"/>
    </xf>
    <xf numFmtId="179" fontId="4" fillId="0" borderId="2" xfId="0" applyNumberFormat="1" applyFont="1" applyBorder="1" applyAlignment="1">
      <alignment vertical="top" wrapText="1"/>
    </xf>
    <xf numFmtId="0" fontId="5" fillId="4" borderId="3" xfId="0" applyFont="1" applyFill="1" applyBorder="1" applyAlignment="1">
      <alignment horizontal="left" vertical="center" indent="1"/>
    </xf>
    <xf numFmtId="0" fontId="0" fillId="0" borderId="3" xfId="0" applyBorder="1"/>
    <xf numFmtId="0" fontId="5" fillId="5" borderId="4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vertical="center" wrapText="1"/>
    </xf>
    <xf numFmtId="0" fontId="0" fillId="0" borderId="4" xfId="0" applyBorder="1"/>
    <xf numFmtId="0" fontId="0" fillId="2" borderId="0" xfId="0" applyFill="1"/>
    <xf numFmtId="0" fontId="7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2" fontId="8" fillId="0" borderId="2" xfId="0" applyNumberFormat="1" applyFont="1" applyBorder="1" applyAlignment="1">
      <alignment vertical="top" wrapText="1"/>
    </xf>
    <xf numFmtId="2" fontId="4" fillId="0" borderId="2" xfId="0" applyNumberFormat="1" applyFont="1" applyBorder="1" applyAlignment="1">
      <alignment vertical="top" wrapText="1"/>
    </xf>
    <xf numFmtId="0" fontId="4" fillId="4" borderId="2" xfId="0" applyFont="1" applyFill="1" applyBorder="1" applyAlignment="1">
      <alignment horizontal="left" vertical="top" wrapText="1" indent="1"/>
    </xf>
    <xf numFmtId="0" fontId="0" fillId="0" borderId="2" xfId="0" applyBorder="1"/>
    <xf numFmtId="0" fontId="4" fillId="3" borderId="2" xfId="0" applyFont="1" applyFill="1" applyBorder="1" applyAlignment="1">
      <alignment horizontal="left" vertical="top" wrapText="1" indent="1"/>
    </xf>
    <xf numFmtId="0" fontId="9" fillId="0" borderId="0" xfId="6"/>
    <xf numFmtId="180" fontId="4" fillId="0" borderId="2" xfId="0" applyNumberFormat="1" applyFont="1" applyBorder="1" applyAlignment="1">
      <alignment vertical="top" wrapText="1"/>
    </xf>
    <xf numFmtId="3" fontId="4" fillId="0" borderId="2" xfId="0" applyNumberFormat="1" applyFont="1" applyBorder="1" applyAlignment="1">
      <alignment vertical="top" wrapText="1"/>
    </xf>
    <xf numFmtId="0" fontId="10" fillId="0" borderId="0" xfId="6" applyFont="1"/>
    <xf numFmtId="58" fontId="5" fillId="6" borderId="2" xfId="0" applyNumberFormat="1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179" fontId="5" fillId="6" borderId="2" xfId="0" applyNumberFormat="1" applyFont="1" applyFill="1" applyBorder="1" applyAlignment="1">
      <alignment vertical="top" wrapText="1"/>
    </xf>
    <xf numFmtId="179" fontId="5" fillId="7" borderId="2" xfId="0" applyNumberFormat="1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178" fontId="5" fillId="7" borderId="2" xfId="0" applyNumberFormat="1" applyFont="1" applyFill="1" applyBorder="1" applyAlignment="1">
      <alignment vertical="top" wrapText="1"/>
    </xf>
    <xf numFmtId="0" fontId="5" fillId="4" borderId="3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 indent="1"/>
    </xf>
    <xf numFmtId="1" fontId="4" fillId="0" borderId="2" xfId="0" applyNumberFormat="1" applyFont="1" applyBorder="1" applyAlignment="1">
      <alignment vertical="top" wrapText="1"/>
    </xf>
    <xf numFmtId="181" fontId="4" fillId="0" borderId="2" xfId="0" applyNumberFormat="1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 indent="1"/>
    </xf>
    <xf numFmtId="179" fontId="5" fillId="4" borderId="2" xfId="0" applyNumberFormat="1" applyFont="1" applyFill="1" applyBorder="1" applyAlignment="1">
      <alignment vertical="top" wrapText="1"/>
    </xf>
    <xf numFmtId="182" fontId="4" fillId="0" borderId="2" xfId="0" applyNumberFormat="1" applyFont="1" applyBorder="1" applyAlignment="1">
      <alignment vertical="top" wrapText="1"/>
    </xf>
    <xf numFmtId="0" fontId="5" fillId="8" borderId="2" xfId="0" applyFont="1" applyFill="1" applyBorder="1" applyAlignment="1">
      <alignment vertical="top" wrapText="1" indent="1"/>
    </xf>
    <xf numFmtId="179" fontId="5" fillId="8" borderId="2" xfId="0" applyNumberFormat="1" applyFont="1" applyFill="1" applyBorder="1" applyAlignment="1">
      <alignment vertical="top" wrapTex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top" wrapText="1" indent="1"/>
    </xf>
    <xf numFmtId="0" fontId="6" fillId="8" borderId="4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178" fontId="12" fillId="9" borderId="2" xfId="0" applyNumberFormat="1" applyFont="1" applyFill="1" applyBorder="1" applyAlignment="1">
      <alignment vertical="top" wrapText="1"/>
    </xf>
    <xf numFmtId="178" fontId="5" fillId="6" borderId="2" xfId="0" applyNumberFormat="1" applyFont="1" applyFill="1" applyBorder="1" applyAlignment="1">
      <alignment vertical="top" wrapText="1"/>
    </xf>
    <xf numFmtId="182" fontId="5" fillId="7" borderId="2" xfId="0" applyNumberFormat="1" applyFont="1" applyFill="1" applyBorder="1" applyAlignment="1">
      <alignment vertical="top" wrapText="1"/>
    </xf>
    <xf numFmtId="3" fontId="5" fillId="7" borderId="2" xfId="0" applyNumberFormat="1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179" fontId="4" fillId="7" borderId="4" xfId="0" applyNumberFormat="1" applyFont="1" applyFill="1" applyBorder="1" applyAlignment="1">
      <alignment vertical="top" wrapText="1"/>
    </xf>
    <xf numFmtId="178" fontId="4" fillId="7" borderId="4" xfId="0" applyNumberFormat="1" applyFont="1" applyFill="1" applyBorder="1" applyAlignment="1">
      <alignment vertical="top" wrapText="1"/>
    </xf>
    <xf numFmtId="183" fontId="4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vertical="top" wrapText="1" indent="1"/>
    </xf>
    <xf numFmtId="181" fontId="5" fillId="0" borderId="2" xfId="0" applyNumberFormat="1" applyFont="1" applyBorder="1" applyAlignment="1">
      <alignment vertical="top" wrapText="1"/>
    </xf>
    <xf numFmtId="181" fontId="13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79" fontId="5" fillId="0" borderId="2" xfId="0" applyNumberFormat="1" applyFont="1" applyBorder="1" applyAlignment="1">
      <alignment vertical="top" wrapText="1"/>
    </xf>
    <xf numFmtId="179" fontId="13" fillId="0" borderId="2" xfId="0" applyNumberFormat="1" applyFont="1" applyBorder="1" applyAlignment="1">
      <alignment vertical="top" wrapText="1"/>
    </xf>
    <xf numFmtId="179" fontId="13" fillId="4" borderId="2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182" fontId="5" fillId="0" borderId="2" xfId="0" applyNumberFormat="1" applyFont="1" applyBorder="1" applyAlignment="1">
      <alignment vertical="top" wrapText="1"/>
    </xf>
    <xf numFmtId="182" fontId="13" fillId="4" borderId="2" xfId="0" applyNumberFormat="1" applyFont="1" applyFill="1" applyBorder="1" applyAlignment="1">
      <alignment vertical="top" wrapText="1"/>
    </xf>
    <xf numFmtId="0" fontId="14" fillId="4" borderId="0" xfId="0" applyFont="1" applyFill="1" applyAlignment="1">
      <alignment horizontal="left" vertical="center" indent="1"/>
    </xf>
    <xf numFmtId="0" fontId="15" fillId="7" borderId="5" xfId="0" applyFont="1" applyFill="1" applyBorder="1" applyAlignment="1">
      <alignment horizontal="center" vertical="center"/>
    </xf>
    <xf numFmtId="0" fontId="0" fillId="0" borderId="6" xfId="0" applyBorder="1"/>
    <xf numFmtId="0" fontId="16" fillId="4" borderId="5" xfId="0" applyFont="1" applyFill="1" applyBorder="1" applyAlignment="1">
      <alignment horizontal="center" vertical="center"/>
    </xf>
    <xf numFmtId="3" fontId="17" fillId="7" borderId="5" xfId="0" applyNumberFormat="1" applyFont="1" applyFill="1" applyBorder="1" applyAlignment="1">
      <alignment horizontal="center" vertical="center"/>
    </xf>
    <xf numFmtId="181" fontId="17" fillId="7" borderId="5" xfId="0" applyNumberFormat="1" applyFont="1" applyFill="1" applyBorder="1" applyAlignment="1">
      <alignment horizontal="center" vertical="center"/>
    </xf>
    <xf numFmtId="181" fontId="18" fillId="4" borderId="5" xfId="0" applyNumberFormat="1" applyFont="1" applyFill="1" applyBorder="1" applyAlignment="1">
      <alignment horizontal="center" vertical="center"/>
    </xf>
    <xf numFmtId="179" fontId="17" fillId="7" borderId="5" xfId="0" applyNumberFormat="1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 indent="1"/>
    </xf>
    <xf numFmtId="0" fontId="0" fillId="0" borderId="1" xfId="0" applyBorder="1"/>
    <xf numFmtId="0" fontId="12" fillId="0" borderId="2" xfId="0" applyFont="1" applyBorder="1" applyAlignment="1">
      <alignment horizontal="left" vertical="center" wrapText="1" indent="1"/>
    </xf>
    <xf numFmtId="181" fontId="12" fillId="0" borderId="2" xfId="0" applyNumberFormat="1" applyFont="1" applyBorder="1" applyAlignment="1">
      <alignment horizontal="center" vertical="center" wrapText="1"/>
    </xf>
    <xf numFmtId="181" fontId="13" fillId="4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 indent="1"/>
    </xf>
    <xf numFmtId="184" fontId="12" fillId="0" borderId="2" xfId="0" applyNumberFormat="1" applyFont="1" applyBorder="1" applyAlignment="1">
      <alignment horizontal="center" vertical="center" wrapText="1"/>
    </xf>
    <xf numFmtId="184" fontId="13" fillId="4" borderId="2" xfId="0" applyNumberFormat="1" applyFont="1" applyFill="1" applyBorder="1" applyAlignment="1">
      <alignment horizontal="center" vertical="center" wrapText="1"/>
    </xf>
    <xf numFmtId="182" fontId="12" fillId="0" borderId="2" xfId="0" applyNumberFormat="1" applyFont="1" applyBorder="1" applyAlignment="1">
      <alignment horizontal="center" vertical="center" wrapText="1"/>
    </xf>
    <xf numFmtId="182" fontId="13" fillId="4" borderId="2" xfId="0" applyNumberFormat="1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3" fillId="4" borderId="2" xfId="0" applyNumberFormat="1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left" vertical="center" indent="1"/>
    </xf>
    <xf numFmtId="0" fontId="23" fillId="2" borderId="0" xfId="0" applyFont="1" applyFill="1" applyAlignment="1">
      <alignment vertical="top" wrapText="1"/>
    </xf>
    <xf numFmtId="0" fontId="14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vertical="center" wrapText="1"/>
    </xf>
    <xf numFmtId="0" fontId="5" fillId="8" borderId="0" xfId="0" applyFont="1" applyFill="1" applyAlignment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ill>
        <patternFill patternType="solid">
          <fgColor rgb="FFF8DFDF"/>
        </patternFill>
      </fill>
    </dxf>
    <dxf>
      <font>
        <name val="Consolas"/>
        <scheme val="none"/>
        <family val="0"/>
        <sz val="8"/>
        <color rgb="FF12345A"/>
      </font>
      <alignment horizontal="left" vertical="top" wrapText="1" inden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horizontal="left" vertical="top" wrapText="1" inden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horizontal="left" vertical="top" wrapText="1" inden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numFmt numFmtId="2" formatCode="0.00"/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Consolas"/>
        <scheme val="none"/>
        <family val="0"/>
        <sz val="6"/>
        <color rgb="FF5B6877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family val="0"/>
        <sz val="8"/>
        <color rgb="FF172334"/>
      </font>
      <alignment vertical="top" wrapText="1"/>
      <border>
        <bottom style="thin">
          <color rgb="FFD5DDE5"/>
        </bottom>
      </border>
    </dxf>
    <dxf>
      <font>
        <name val="Aptos"/>
        <scheme val="none"/>
        <b val="1"/>
        <sz val="8"/>
        <color rgb="FF168B8C"/>
      </font>
      <fill>
        <patternFill patternType="solid">
          <fgColor rgb="FFE7F4EC"/>
        </patternFill>
      </fill>
    </dxf>
    <dxf>
      <font>
        <name val="Aptos"/>
        <scheme val="none"/>
        <b val="1"/>
        <sz val="8"/>
        <color rgb="FFB42318"/>
      </font>
      <fill>
        <patternFill patternType="solid">
          <fgColor rgb="FFFC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Mapped candidates by validation market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'Validation summary'!$D$13</c:f>
              <c:strCache>
                <c:ptCount val="1"/>
                <c:pt idx="0">
                  <c:v>RESULTS</c:v>
                </c:pt>
              </c:strCache>
            </c:strRef>
          </c:tx>
          <c:spPr>
            <a:solidFill>
              <a:srgbClr val="168B8C"/>
            </a:solidFill>
            <a:ln w="9525" cap="flat" cmpd="sng" algn="ctr">
              <a:solidFill>
                <a:srgbClr val="168B8C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'Validation summary'!$C$14:$C$17</c:f>
              <c:strCache>
                <c:ptCount val="4"/>
                <c:pt idx="0">
                  <c:v>Barstow</c:v>
                </c:pt>
                <c:pt idx="1">
                  <c:v>Riverside</c:v>
                </c:pt>
                <c:pt idx="2">
                  <c:v>Downtown Los Angeles</c:v>
                </c:pt>
                <c:pt idx="3">
                  <c:v>Downtown LA saturation</c:v>
                </c:pt>
              </c:strCache>
            </c:strRef>
          </c:cat>
          <c:val>
            <c:numRef>
              <c:f>'Validation summary'!$D$14:$D$17</c:f>
              <c:numCache>
                <c:formatCode>General</c:formatCode>
                <c:ptCount val="4"/>
                <c:pt idx="0">
                  <c:v>63</c:v>
                </c:pt>
                <c:pt idx="1">
                  <c:v>49</c:v>
                </c:pt>
                <c:pt idx="2">
                  <c:v>106</c:v>
                </c:pt>
                <c:pt idx="3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Market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Physical sites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672c06-877b-4498-9a85-e36b3780e8a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Market-run Place-ID qualification mix (n=1,856)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'Validation summary'!$C$20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168B8C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E5B548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12345A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elete val="1"/>
          </c:dLbls>
          <c:cat>
            <c:strRef>
              <c:f>'Validation summary'!$B$21:$B$23</c:f>
              <c:strCache>
                <c:ptCount val="3"/>
                <c:pt idx="0">
                  <c:v>Ready</c:v>
                </c:pt>
                <c:pt idx="1">
                  <c:v>Review needed</c:v>
                </c:pt>
                <c:pt idx="2">
                  <c:v>Not currently viable</c:v>
                </c:pt>
              </c:strCache>
            </c:strRef>
          </c:cat>
          <c:val>
            <c:numRef>
              <c:f>'Validation summary'!$C$21:$C$23</c:f>
              <c:numCache>
                <c:formatCode>General</c:formatCode>
                <c:ptCount val="3"/>
                <c:pt idx="0">
                  <c:v>1089</c:v>
                </c:pt>
                <c:pt idx="1">
                  <c:v>456</c:v>
                </c:pt>
                <c:pt idx="2">
                  <c:v>311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c27b9d-dd8e-4dfe-8828-a59db02e305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5</xdr:row>
      <xdr:rowOff>0</xdr:rowOff>
    </xdr:from>
    <xdr:ext cx="4248000" cy="2478725"/>
    <xdr:graphicFrame>
      <xdr:nvGraphicFramePr>
        <xdr:cNvPr id="2" name="Chart 1"/>
        <xdr:cNvGraphicFramePr/>
      </xdr:nvGraphicFramePr>
      <xdr:xfrm>
        <a:off x="9683750" y="1514475"/>
        <a:ext cx="4247515" cy="2478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3600000" cy="2777175"/>
    <xdr:graphicFrame>
      <xdr:nvGraphicFramePr>
        <xdr:cNvPr id="3" name="Chart 2"/>
        <xdr:cNvGraphicFramePr/>
      </xdr:nvGraphicFramePr>
      <xdr:xfrm>
        <a:off x="9683750" y="4949825"/>
        <a:ext cx="3599815" cy="2776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9.2036111111" recordCount="39">
  <cacheSource type="worksheet">
    <worksheetSource ref="B5:S44" sheet="Raw validation"/>
  </cacheSource>
  <cacheFields count="18">
    <cacheField name="TEST GROUP" numFmtId="0">
      <sharedItems count="4">
        <s v="Density"/>
        <s v="Saturation"/>
        <s v="Spatial A/B"/>
        <s v="Market grid"/>
      </sharedItems>
    </cacheField>
    <cacheField name="CASE ID" numFmtId="0">
      <sharedItems count="28">
        <s v="sparse_barstow"/>
        <s v="medium_riverside"/>
        <s v="dense_downtown_la"/>
        <s v="saturation_downtown_la_convenience"/>
        <s v="la_convenience"/>
        <s v="riverside_gas"/>
        <s v="koreatown_liquor"/>
        <s v="r1c1"/>
        <s v="r1c2"/>
        <s v="r1c3"/>
        <s v="r1c4"/>
        <s v="r1c5"/>
        <s v="r2c1"/>
        <s v="r2c2"/>
        <s v="r2c3"/>
        <s v="r2c4"/>
        <s v="r2c5"/>
        <s v="r3c1"/>
        <s v="r3c2"/>
        <s v="r3c3"/>
        <s v="r3c4"/>
        <s v="r3c5"/>
        <s v="r4c1"/>
        <s v="r4c2"/>
        <s v="r4c3"/>
        <s v="r4c4"/>
        <s v="r4c5"/>
        <s v="r5c1"/>
      </sharedItems>
    </cacheField>
    <cacheField name="MARKET / LABEL" numFmtId="0">
      <sharedItems count="8">
        <s v="Barstow, CA"/>
        <s v="Riverside, CA"/>
        <s v="Downtown Los Angeles, CA"/>
        <s v="Downtown Los Angeles 5 km convenience saturation probe"/>
        <s v="Downtown Los Angeles / convenience"/>
        <s v="Riverside / gas"/>
        <s v="Koreatown / liquor"/>
        <s v="Los Angeles grid"/>
      </sharedItems>
    </cacheField>
    <cacheField name="VARIANT" numFmtId="0">
      <sharedItems count="4">
        <s v="Cold"/>
        <s v="Warm"/>
        <s v="Bias"/>
        <s v="Restriction"/>
      </sharedItems>
    </cacheField>
    <cacheField name="RADIUS M" numFmtId="0">
      <sharedItems containsSemiMixedTypes="0" containsString="0" containsNumber="1" containsInteger="1" minValue="1000" maxValue="5000" count="3">
        <n v="2500"/>
        <n v="5000"/>
        <n v="1000"/>
      </sharedItems>
    </cacheField>
    <cacheField name="SEGMENTS / QUERY" numFmtId="0">
      <sharedItems count="5">
        <s v="smoke, liquor, gas, laundromat, convenience"/>
        <s v="convenience"/>
        <s v="convenience store mini mart"/>
        <s v="gas station"/>
        <s v="liquor store wine spirits"/>
      </sharedItems>
    </cacheField>
    <cacheField name="RESULTS" numFmtId="0">
      <sharedItems containsSemiMixedTypes="0" containsString="0" containsNumber="1" containsInteger="1" minValue="4" maxValue="224" count="24">
        <n v="63"/>
        <n v="49"/>
        <n v="106"/>
        <n v="85"/>
        <n v="20"/>
        <n v="12"/>
        <n v="4"/>
        <n v="10"/>
        <n v="99"/>
        <n v="144"/>
        <n v="133"/>
        <n v="108"/>
        <n v="55"/>
        <n v="128"/>
        <n v="102"/>
        <n v="73"/>
        <n v="224"/>
        <n v="113"/>
        <n v="36"/>
        <n v="136"/>
        <n v="146"/>
        <n v="41"/>
        <n v="56"/>
        <n v="16"/>
      </sharedItems>
    </cacheField>
    <cacheField name="API CALLS" numFmtId="0">
      <sharedItems containsSemiMixedTypes="0" containsString="0" containsNumber="1" containsInteger="1" minValue="0" maxValue="25" count="15">
        <n v="7"/>
        <n v="0"/>
        <n v="9"/>
        <n v="10"/>
        <n v="1"/>
        <n v="13"/>
        <n v="11"/>
        <n v="16"/>
        <n v="6"/>
        <n v="14"/>
        <n v="8"/>
        <n v="25"/>
        <n v="15"/>
        <n v="17"/>
        <n v="5"/>
      </sharedItems>
    </cacheField>
    <cacheField name="CACHE HITS" numFmtId="0">
      <sharedItems containsString="0" containsBlank="1" containsNumber="1" containsInteger="1" minValue="0" maxValue="9" count="4">
        <n v="0"/>
        <n v="5"/>
        <m/>
        <n v="9"/>
      </sharedItems>
    </cacheField>
    <cacheField name="TILES" numFmtId="0">
      <sharedItems containsString="0" containsBlank="1" containsNumber="1" containsInteger="1" minValue="5" maxValue="13" count="4">
        <n v="5"/>
        <m/>
        <n v="9"/>
        <n v="13"/>
      </sharedItems>
    </cacheField>
    <cacheField name="TRUNCATED" numFmtId="0">
      <sharedItems containsBlank="1" count="2">
        <s v="None"/>
        <m/>
      </sharedItems>
    </cacheField>
    <cacheField name="RESULTS / CALL" numFmtId="2">
      <sharedItems containsNumber="1" containsMixedTypes="1" count="27">
        <n v="9"/>
        <s v=""/>
        <n v="7"/>
        <n v="11.7777777777778"/>
        <n v="8.5"/>
        <n v="20"/>
        <n v="12"/>
        <n v="4"/>
        <n v="10"/>
        <n v="7.61538461538462"/>
        <n v="13.0909090909091"/>
        <n v="8.3125"/>
        <n v="10.8"/>
        <n v="9.16666666666667"/>
        <n v="8.16666666666667"/>
        <n v="11.6363636363636"/>
        <n v="7.28571428571429"/>
        <n v="9.125"/>
        <n v="11.3333333333333"/>
        <n v="8.96"/>
        <n v="11.3"/>
        <n v="6.8"/>
        <n v="6"/>
        <n v="8.58823529411765"/>
        <n v="6.83333333333333"/>
        <n v="9.33333333333333"/>
        <n v="3.2"/>
      </sharedItems>
    </cacheField>
    <cacheField name="OUTSIDE CIRCLE" numFmtId="0">
      <sharedItems containsString="0" containsBlank="1" containsNumber="1" containsInteger="1" minValue="0" maxValue="15" count="7">
        <m/>
        <n v="10"/>
        <n v="2"/>
        <n v="15"/>
        <n v="0"/>
        <n v="12"/>
        <n v="3"/>
      </sharedItems>
    </cacheField>
    <cacheField name="OUTSIDE RECT" numFmtId="0">
      <sharedItems containsString="0" containsBlank="1" containsNumber="1" containsInteger="1" minValue="0" maxValue="15" count="5">
        <m/>
        <n v="7"/>
        <n v="0"/>
        <n v="15"/>
        <n v="9"/>
      </sharedItems>
    </cacheField>
    <cacheField name="FARTHEST M" numFmtId="0">
      <sharedItems containsString="0" containsBlank="1" containsNumber="1" minValue="768.2" maxValue="6023" count="7">
        <m/>
        <n v="6023"/>
        <n v="1360.5"/>
        <n v="3392.7"/>
        <n v="768.2"/>
        <n v="4791"/>
        <n v="1173.1"/>
      </sharedItems>
    </cacheField>
    <cacheField name="RESULT DIGEST" numFmtId="0">
      <sharedItems containsBlank="1" count="26">
        <s v="682ec3f93e92de70306445e4dc08c540f1b9e26fe26df9fffcaf72fb0a067eb7"/>
        <s v="da09696c191bd4e71cfdc3274c5d1456991855d6100f2c19a907ab921c852398"/>
        <s v="f9c7bfec15cc98a8a4ed7daacf92d5cc49ae95508bd6f377ee8409ed3c95f901"/>
        <s v="849e05c31ce30a6847a7f67a1237d1a4ecb0ed01d4ad0f1e753502962d0397cf"/>
        <m/>
        <s v="bd5fb2e818b8a3d450b47f9a30e2d9fef8eb0e0709dd372ee5cdb04b0b2e67ec"/>
        <s v="ba675a958493a5466c3c99a6f92a705abfc32d0c3703808a360d2f52d045fb7d"/>
        <s v="e3a5a405552c16de37cc3a8a73b5ba72561ecd2c56095711a7f3c94005f13a73"/>
        <s v="78e2350dd9560fa87c5b650d739217f37c4a8f7151b2935006a0171ef7ac33f7"/>
        <s v="150def406cb492cb5bae2ab675aeebea8e6bd2b8255777e60a42e5209463a23d"/>
        <s v="6d47ed875d14583b82c24182dfea08c9bfa98b9a474affae0e9e234a7b5781f9"/>
        <s v="4cb668e4983321c2e1786fe4a397d0bc964b59eb6bc1107f7f3f9cedfc2ce4a1"/>
        <s v="7cdc7ed7618981e8114801abf1a2e59274c96fbc431e842d73a40b7f65b143b1"/>
        <s v="6f9c73f41ff798bd5163618a2a2ad0ee95992deb3d18db956d08afa459a74310"/>
        <s v="c60c6b2f66c01dbc824fcdca06a1d8ae8532071dba3a0bc1e3a1358f5b143c1c"/>
        <s v="02fee1f06e504ad12215e18bc64c8bc2c4334240cdab08c443db92b7e7ccd8dd"/>
        <s v="70ecba610aab5183ddb04763656f1c7c65d1a02d0f8b2745c49750d8a59413d7"/>
        <s v="2ccc0a21a88ab5b27567be92cd7810e5dac7f58fd3108f5fbb929ade54702eae"/>
        <s v="b2408051151cf5b69010f30fb452af377691a8907013ac5bc00756ba0f7f5de9"/>
        <s v="9cc081c548ccac5a533a50c37eb038edd5ae961c0f0dd5223d44b8a050b1c90b"/>
        <s v="1559d1401f69728b081cb050efcdf20fbca8e2f021b1837265638727e0f23cbd"/>
        <s v="b70790fe73991d22c875841ef0fa82a144ace0903854e5d3c7479a5a333a7051"/>
        <s v="046e10a24e3022266c797bddc09931ec50921530480806250c9f0a096829ba81"/>
        <s v="6b3fdddaac2251010a1f1d8f57a888614f9a026ce55c3c11ea9d978e8d014dfb"/>
        <s v="584b9956382e072e175c676eb0e69d9a5b00b9a1f6281e1f612435a49a76db68"/>
        <s v="d82e5c31f23899dc898e07b77f860c38b8aaa7c33c0f08a8595257fda23379d1"/>
      </sharedItems>
    </cacheField>
    <cacheField name="RUN ID / AS OF" numFmtId="0">
      <sharedItems count="2">
        <s v="run-20260831-212343-et"/>
        <s v="run-20260904-024050-et"/>
      </sharedItems>
    </cacheField>
    <cacheField name="EVIDENCE STATUS" numFmtId="0">
      <sharedItems count="3">
        <s v="Current technical check"/>
        <s v="Completed market run"/>
        <s v="Cache replay contr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1"/>
    <x v="1"/>
    <x v="0"/>
    <x v="0"/>
    <x v="1"/>
    <x v="0"/>
    <x v="0"/>
    <x v="0"/>
    <x v="0"/>
    <x v="0"/>
    <x v="0"/>
  </r>
  <r>
    <x v="0"/>
    <x v="1"/>
    <x v="1"/>
    <x v="0"/>
    <x v="0"/>
    <x v="0"/>
    <x v="1"/>
    <x v="0"/>
    <x v="0"/>
    <x v="0"/>
    <x v="0"/>
    <x v="2"/>
    <x v="0"/>
    <x v="0"/>
    <x v="0"/>
    <x v="1"/>
    <x v="0"/>
    <x v="0"/>
  </r>
  <r>
    <x v="0"/>
    <x v="1"/>
    <x v="1"/>
    <x v="1"/>
    <x v="0"/>
    <x v="0"/>
    <x v="1"/>
    <x v="1"/>
    <x v="1"/>
    <x v="0"/>
    <x v="0"/>
    <x v="1"/>
    <x v="0"/>
    <x v="0"/>
    <x v="0"/>
    <x v="1"/>
    <x v="0"/>
    <x v="0"/>
  </r>
  <r>
    <x v="0"/>
    <x v="2"/>
    <x v="2"/>
    <x v="0"/>
    <x v="0"/>
    <x v="0"/>
    <x v="2"/>
    <x v="2"/>
    <x v="0"/>
    <x v="0"/>
    <x v="0"/>
    <x v="3"/>
    <x v="0"/>
    <x v="0"/>
    <x v="0"/>
    <x v="2"/>
    <x v="0"/>
    <x v="0"/>
  </r>
  <r>
    <x v="0"/>
    <x v="2"/>
    <x v="2"/>
    <x v="1"/>
    <x v="0"/>
    <x v="0"/>
    <x v="2"/>
    <x v="1"/>
    <x v="1"/>
    <x v="0"/>
    <x v="0"/>
    <x v="1"/>
    <x v="0"/>
    <x v="0"/>
    <x v="0"/>
    <x v="2"/>
    <x v="0"/>
    <x v="0"/>
  </r>
  <r>
    <x v="1"/>
    <x v="3"/>
    <x v="3"/>
    <x v="0"/>
    <x v="1"/>
    <x v="1"/>
    <x v="3"/>
    <x v="3"/>
    <x v="0"/>
    <x v="0"/>
    <x v="0"/>
    <x v="4"/>
    <x v="0"/>
    <x v="0"/>
    <x v="0"/>
    <x v="3"/>
    <x v="0"/>
    <x v="0"/>
  </r>
  <r>
    <x v="1"/>
    <x v="3"/>
    <x v="3"/>
    <x v="1"/>
    <x v="1"/>
    <x v="1"/>
    <x v="3"/>
    <x v="1"/>
    <x v="1"/>
    <x v="0"/>
    <x v="0"/>
    <x v="1"/>
    <x v="0"/>
    <x v="0"/>
    <x v="0"/>
    <x v="3"/>
    <x v="0"/>
    <x v="0"/>
  </r>
  <r>
    <x v="2"/>
    <x v="4"/>
    <x v="4"/>
    <x v="2"/>
    <x v="2"/>
    <x v="2"/>
    <x v="4"/>
    <x v="4"/>
    <x v="2"/>
    <x v="1"/>
    <x v="1"/>
    <x v="5"/>
    <x v="1"/>
    <x v="1"/>
    <x v="1"/>
    <x v="4"/>
    <x v="0"/>
    <x v="0"/>
  </r>
  <r>
    <x v="2"/>
    <x v="4"/>
    <x v="4"/>
    <x v="3"/>
    <x v="2"/>
    <x v="2"/>
    <x v="5"/>
    <x v="4"/>
    <x v="2"/>
    <x v="1"/>
    <x v="1"/>
    <x v="6"/>
    <x v="2"/>
    <x v="2"/>
    <x v="2"/>
    <x v="4"/>
    <x v="0"/>
    <x v="0"/>
  </r>
  <r>
    <x v="2"/>
    <x v="5"/>
    <x v="5"/>
    <x v="2"/>
    <x v="2"/>
    <x v="3"/>
    <x v="4"/>
    <x v="4"/>
    <x v="2"/>
    <x v="1"/>
    <x v="1"/>
    <x v="5"/>
    <x v="3"/>
    <x v="3"/>
    <x v="3"/>
    <x v="4"/>
    <x v="0"/>
    <x v="0"/>
  </r>
  <r>
    <x v="2"/>
    <x v="5"/>
    <x v="5"/>
    <x v="3"/>
    <x v="2"/>
    <x v="3"/>
    <x v="6"/>
    <x v="4"/>
    <x v="2"/>
    <x v="1"/>
    <x v="1"/>
    <x v="7"/>
    <x v="4"/>
    <x v="2"/>
    <x v="4"/>
    <x v="4"/>
    <x v="0"/>
    <x v="0"/>
  </r>
  <r>
    <x v="2"/>
    <x v="6"/>
    <x v="6"/>
    <x v="2"/>
    <x v="2"/>
    <x v="4"/>
    <x v="4"/>
    <x v="4"/>
    <x v="2"/>
    <x v="1"/>
    <x v="1"/>
    <x v="5"/>
    <x v="5"/>
    <x v="4"/>
    <x v="5"/>
    <x v="4"/>
    <x v="0"/>
    <x v="0"/>
  </r>
  <r>
    <x v="2"/>
    <x v="6"/>
    <x v="6"/>
    <x v="3"/>
    <x v="2"/>
    <x v="4"/>
    <x v="7"/>
    <x v="4"/>
    <x v="2"/>
    <x v="1"/>
    <x v="1"/>
    <x v="8"/>
    <x v="6"/>
    <x v="2"/>
    <x v="6"/>
    <x v="4"/>
    <x v="0"/>
    <x v="0"/>
  </r>
  <r>
    <x v="3"/>
    <x v="7"/>
    <x v="7"/>
    <x v="0"/>
    <x v="0"/>
    <x v="0"/>
    <x v="8"/>
    <x v="5"/>
    <x v="0"/>
    <x v="2"/>
    <x v="0"/>
    <x v="9"/>
    <x v="0"/>
    <x v="0"/>
    <x v="0"/>
    <x v="5"/>
    <x v="1"/>
    <x v="1"/>
  </r>
  <r>
    <x v="3"/>
    <x v="8"/>
    <x v="7"/>
    <x v="0"/>
    <x v="0"/>
    <x v="0"/>
    <x v="9"/>
    <x v="6"/>
    <x v="0"/>
    <x v="0"/>
    <x v="0"/>
    <x v="10"/>
    <x v="0"/>
    <x v="0"/>
    <x v="0"/>
    <x v="6"/>
    <x v="1"/>
    <x v="1"/>
  </r>
  <r>
    <x v="3"/>
    <x v="9"/>
    <x v="7"/>
    <x v="0"/>
    <x v="0"/>
    <x v="0"/>
    <x v="10"/>
    <x v="7"/>
    <x v="0"/>
    <x v="2"/>
    <x v="0"/>
    <x v="11"/>
    <x v="0"/>
    <x v="0"/>
    <x v="0"/>
    <x v="7"/>
    <x v="1"/>
    <x v="1"/>
  </r>
  <r>
    <x v="3"/>
    <x v="10"/>
    <x v="7"/>
    <x v="0"/>
    <x v="0"/>
    <x v="0"/>
    <x v="11"/>
    <x v="3"/>
    <x v="0"/>
    <x v="0"/>
    <x v="0"/>
    <x v="12"/>
    <x v="0"/>
    <x v="0"/>
    <x v="0"/>
    <x v="8"/>
    <x v="1"/>
    <x v="1"/>
  </r>
  <r>
    <x v="3"/>
    <x v="11"/>
    <x v="7"/>
    <x v="0"/>
    <x v="0"/>
    <x v="0"/>
    <x v="12"/>
    <x v="8"/>
    <x v="0"/>
    <x v="0"/>
    <x v="0"/>
    <x v="13"/>
    <x v="0"/>
    <x v="0"/>
    <x v="0"/>
    <x v="9"/>
    <x v="1"/>
    <x v="1"/>
  </r>
  <r>
    <x v="3"/>
    <x v="12"/>
    <x v="7"/>
    <x v="0"/>
    <x v="0"/>
    <x v="0"/>
    <x v="1"/>
    <x v="8"/>
    <x v="0"/>
    <x v="0"/>
    <x v="0"/>
    <x v="14"/>
    <x v="0"/>
    <x v="0"/>
    <x v="0"/>
    <x v="10"/>
    <x v="1"/>
    <x v="1"/>
  </r>
  <r>
    <x v="3"/>
    <x v="13"/>
    <x v="7"/>
    <x v="0"/>
    <x v="0"/>
    <x v="0"/>
    <x v="13"/>
    <x v="6"/>
    <x v="0"/>
    <x v="0"/>
    <x v="0"/>
    <x v="15"/>
    <x v="0"/>
    <x v="0"/>
    <x v="0"/>
    <x v="11"/>
    <x v="1"/>
    <x v="1"/>
  </r>
  <r>
    <x v="3"/>
    <x v="14"/>
    <x v="7"/>
    <x v="0"/>
    <x v="0"/>
    <x v="0"/>
    <x v="14"/>
    <x v="9"/>
    <x v="0"/>
    <x v="2"/>
    <x v="0"/>
    <x v="16"/>
    <x v="0"/>
    <x v="0"/>
    <x v="0"/>
    <x v="12"/>
    <x v="1"/>
    <x v="1"/>
  </r>
  <r>
    <x v="3"/>
    <x v="15"/>
    <x v="7"/>
    <x v="0"/>
    <x v="0"/>
    <x v="0"/>
    <x v="1"/>
    <x v="0"/>
    <x v="0"/>
    <x v="0"/>
    <x v="0"/>
    <x v="2"/>
    <x v="0"/>
    <x v="0"/>
    <x v="0"/>
    <x v="13"/>
    <x v="1"/>
    <x v="1"/>
  </r>
  <r>
    <x v="3"/>
    <x v="16"/>
    <x v="7"/>
    <x v="0"/>
    <x v="0"/>
    <x v="0"/>
    <x v="15"/>
    <x v="10"/>
    <x v="0"/>
    <x v="0"/>
    <x v="0"/>
    <x v="17"/>
    <x v="0"/>
    <x v="0"/>
    <x v="0"/>
    <x v="14"/>
    <x v="1"/>
    <x v="1"/>
  </r>
  <r>
    <x v="3"/>
    <x v="17"/>
    <x v="7"/>
    <x v="0"/>
    <x v="0"/>
    <x v="0"/>
    <x v="14"/>
    <x v="2"/>
    <x v="0"/>
    <x v="0"/>
    <x v="0"/>
    <x v="18"/>
    <x v="0"/>
    <x v="0"/>
    <x v="0"/>
    <x v="15"/>
    <x v="1"/>
    <x v="1"/>
  </r>
  <r>
    <x v="3"/>
    <x v="18"/>
    <x v="7"/>
    <x v="0"/>
    <x v="0"/>
    <x v="0"/>
    <x v="16"/>
    <x v="11"/>
    <x v="0"/>
    <x v="3"/>
    <x v="0"/>
    <x v="19"/>
    <x v="0"/>
    <x v="0"/>
    <x v="0"/>
    <x v="16"/>
    <x v="1"/>
    <x v="1"/>
  </r>
  <r>
    <x v="3"/>
    <x v="19"/>
    <x v="7"/>
    <x v="0"/>
    <x v="0"/>
    <x v="0"/>
    <x v="17"/>
    <x v="3"/>
    <x v="0"/>
    <x v="0"/>
    <x v="0"/>
    <x v="20"/>
    <x v="0"/>
    <x v="0"/>
    <x v="0"/>
    <x v="17"/>
    <x v="1"/>
    <x v="1"/>
  </r>
  <r>
    <x v="3"/>
    <x v="20"/>
    <x v="7"/>
    <x v="0"/>
    <x v="0"/>
    <x v="0"/>
    <x v="14"/>
    <x v="12"/>
    <x v="0"/>
    <x v="2"/>
    <x v="0"/>
    <x v="21"/>
    <x v="0"/>
    <x v="0"/>
    <x v="0"/>
    <x v="18"/>
    <x v="1"/>
    <x v="1"/>
  </r>
  <r>
    <x v="3"/>
    <x v="21"/>
    <x v="7"/>
    <x v="0"/>
    <x v="0"/>
    <x v="0"/>
    <x v="18"/>
    <x v="8"/>
    <x v="0"/>
    <x v="0"/>
    <x v="0"/>
    <x v="22"/>
    <x v="0"/>
    <x v="0"/>
    <x v="0"/>
    <x v="19"/>
    <x v="1"/>
    <x v="1"/>
  </r>
  <r>
    <x v="3"/>
    <x v="22"/>
    <x v="7"/>
    <x v="0"/>
    <x v="0"/>
    <x v="0"/>
    <x v="19"/>
    <x v="7"/>
    <x v="0"/>
    <x v="2"/>
    <x v="0"/>
    <x v="4"/>
    <x v="0"/>
    <x v="0"/>
    <x v="0"/>
    <x v="20"/>
    <x v="1"/>
    <x v="1"/>
  </r>
  <r>
    <x v="3"/>
    <x v="23"/>
    <x v="7"/>
    <x v="0"/>
    <x v="0"/>
    <x v="0"/>
    <x v="20"/>
    <x v="13"/>
    <x v="0"/>
    <x v="2"/>
    <x v="0"/>
    <x v="23"/>
    <x v="0"/>
    <x v="0"/>
    <x v="0"/>
    <x v="21"/>
    <x v="1"/>
    <x v="1"/>
  </r>
  <r>
    <x v="3"/>
    <x v="24"/>
    <x v="7"/>
    <x v="0"/>
    <x v="0"/>
    <x v="0"/>
    <x v="21"/>
    <x v="8"/>
    <x v="0"/>
    <x v="0"/>
    <x v="0"/>
    <x v="24"/>
    <x v="0"/>
    <x v="0"/>
    <x v="0"/>
    <x v="22"/>
    <x v="1"/>
    <x v="1"/>
  </r>
  <r>
    <x v="3"/>
    <x v="25"/>
    <x v="7"/>
    <x v="0"/>
    <x v="0"/>
    <x v="0"/>
    <x v="1"/>
    <x v="0"/>
    <x v="0"/>
    <x v="0"/>
    <x v="0"/>
    <x v="2"/>
    <x v="0"/>
    <x v="0"/>
    <x v="0"/>
    <x v="23"/>
    <x v="1"/>
    <x v="1"/>
  </r>
  <r>
    <x v="3"/>
    <x v="26"/>
    <x v="7"/>
    <x v="0"/>
    <x v="0"/>
    <x v="0"/>
    <x v="22"/>
    <x v="8"/>
    <x v="0"/>
    <x v="0"/>
    <x v="0"/>
    <x v="25"/>
    <x v="0"/>
    <x v="0"/>
    <x v="0"/>
    <x v="24"/>
    <x v="1"/>
    <x v="1"/>
  </r>
  <r>
    <x v="3"/>
    <x v="27"/>
    <x v="7"/>
    <x v="0"/>
    <x v="0"/>
    <x v="0"/>
    <x v="23"/>
    <x v="14"/>
    <x v="0"/>
    <x v="0"/>
    <x v="0"/>
    <x v="26"/>
    <x v="0"/>
    <x v="0"/>
    <x v="0"/>
    <x v="25"/>
    <x v="1"/>
    <x v="1"/>
  </r>
  <r>
    <x v="3"/>
    <x v="7"/>
    <x v="7"/>
    <x v="1"/>
    <x v="0"/>
    <x v="0"/>
    <x v="8"/>
    <x v="1"/>
    <x v="3"/>
    <x v="2"/>
    <x v="0"/>
    <x v="1"/>
    <x v="0"/>
    <x v="0"/>
    <x v="0"/>
    <x v="5"/>
    <x v="1"/>
    <x v="2"/>
  </r>
  <r>
    <x v="3"/>
    <x v="11"/>
    <x v="7"/>
    <x v="1"/>
    <x v="0"/>
    <x v="0"/>
    <x v="12"/>
    <x v="1"/>
    <x v="1"/>
    <x v="0"/>
    <x v="0"/>
    <x v="1"/>
    <x v="0"/>
    <x v="0"/>
    <x v="0"/>
    <x v="9"/>
    <x v="1"/>
    <x v="2"/>
  </r>
  <r>
    <x v="3"/>
    <x v="19"/>
    <x v="7"/>
    <x v="1"/>
    <x v="0"/>
    <x v="0"/>
    <x v="17"/>
    <x v="1"/>
    <x v="1"/>
    <x v="0"/>
    <x v="0"/>
    <x v="1"/>
    <x v="0"/>
    <x v="0"/>
    <x v="0"/>
    <x v="17"/>
    <x v="1"/>
    <x v="2"/>
  </r>
  <r>
    <x v="3"/>
    <x v="27"/>
    <x v="7"/>
    <x v="1"/>
    <x v="0"/>
    <x v="0"/>
    <x v="23"/>
    <x v="1"/>
    <x v="1"/>
    <x v="0"/>
    <x v="0"/>
    <x v="1"/>
    <x v="0"/>
    <x v="0"/>
    <x v="0"/>
    <x v="25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alidationPivot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B7:L14" firstHeaderRow="1" firstDataRow="3" firstDataCol="1"/>
  <pivotFields count="18"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Results" fld="6" baseField="0" baseItem="0"/>
    <dataField name="Sum of API Calls" fld="7" baseField="0" baseItem="0"/>
  </dataFields>
  <pivotTableStyleInfo name="PivotStyleMedium2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SourceRegister" displayName="tblSourceRegister" ref="B5:I19" totalsRowShown="0">
  <autoFilter xmlns:etc="http://www.wps.cn/officeDocument/2017/etCustomData" ref="B5:I19" etc:filterBottomFollowUsedRange="0"/>
  <tableColumns count="8">
    <tableColumn id="1" name="SOURCE KEY" dataDxfId="1"/>
    <tableColumn id="2" name="METRIC" dataDxfId="2"/>
    <tableColumn id="3" name="VALUE"/>
    <tableColumn id="4" name="UNIT" dataDxfId="3"/>
    <tableColumn id="5" name="EVIDENCE STATUS" dataDxfId="4"/>
    <tableColumn id="6" name="AS OF" dataDxfId="5"/>
    <tableColumn id="7" name="SOURCE / REFERENCE" dataDxfId="6"/>
    <tableColumn id="8" name="LIMIT / INTERPRETATIO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awValidation" displayName="tblRawValidation" ref="B5:S44" totalsRowShown="0">
  <autoFilter xmlns:etc="http://www.wps.cn/officeDocument/2017/etCustomData" ref="B5:S44" etc:filterBottomFollowUsedRange="0"/>
  <tableColumns count="18">
    <tableColumn id="1" name="TEST GROUP" dataDxfId="8"/>
    <tableColumn id="2" name="CASE ID" dataDxfId="9"/>
    <tableColumn id="3" name="MARKET / LABEL" dataDxfId="10"/>
    <tableColumn id="4" name="VARIANT" dataDxfId="11"/>
    <tableColumn id="5" name="RADIUS M" dataDxfId="12"/>
    <tableColumn id="6" name="SEGMENTS / QUERY" dataDxfId="13"/>
    <tableColumn id="7" name="RESULTS" dataDxfId="14"/>
    <tableColumn id="8" name="API CALLS" dataDxfId="15"/>
    <tableColumn id="9" name="CACHE HITS" dataDxfId="16"/>
    <tableColumn id="10" name="TILES" dataDxfId="17"/>
    <tableColumn id="11" name="TRUNCATED" dataDxfId="18"/>
    <tableColumn id="12" name="RESULTS / CALL" dataDxfId="19">
      <calculatedColumnFormula>IFERROR(H6/I6,"")</calculatedColumnFormula>
    </tableColumn>
    <tableColumn id="13" name="OUTSIDE CIRCLE" dataDxfId="20"/>
    <tableColumn id="14" name="OUTSIDE RECT" dataDxfId="21"/>
    <tableColumn id="15" name="FARTHEST M" dataDxfId="22"/>
    <tableColumn id="16" name="RESULT DIGEST" dataDxfId="23"/>
    <tableColumn id="17" name="RUN ID / AS OF" dataDxfId="24"/>
    <tableColumn id="18" name="EVIDENCE STATUS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google.com/maps/billing-and-pricing/pricing" TargetMode="External"/><Relationship Id="rId2" Type="http://schemas.openxmlformats.org/officeDocument/2006/relationships/hyperlink" Target="https://github.com/YiShao-AI/ATM-Map-Public/blob/main/benchmarking/evidence/MARKET_RUN_20260904.md" TargetMode="Externa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8B8C"/>
    <pageSetUpPr fitToPage="1"/>
  </sheetPr>
  <dimension ref="B1:I30"/>
  <sheetViews>
    <sheetView showGridLines="0" tabSelected="1" zoomScale="95" zoomScaleNormal="95" workbookViewId="0">
      <pane ySplit="4" topLeftCell="A5" activePane="bottomLeft" state="frozen"/>
      <selection/>
      <selection pane="bottomLeft" activeCell="A1" sqref="A1"/>
    </sheetView>
  </sheetViews>
  <sheetFormatPr defaultColWidth="9" defaultRowHeight="14.5"/>
  <cols>
    <col min="1" max="1" width="3.63636363636364" customWidth="1"/>
    <col min="2" max="2" width="18" customWidth="1"/>
    <col min="3" max="3" width="13" customWidth="1"/>
    <col min="4" max="4" width="18" customWidth="1"/>
    <col min="5" max="5" width="13" customWidth="1"/>
    <col min="6" max="6" width="18" customWidth="1"/>
    <col min="7" max="7" width="13" customWidth="1"/>
    <col min="8" max="9" width="20" customWidth="1"/>
  </cols>
  <sheetData>
    <row r="1" ht="10" customHeight="1"/>
    <row r="2" ht="36" customHeight="1" spans="2:9">
      <c r="B2" s="1" t="s">
        <v>0</v>
      </c>
    </row>
    <row r="3" ht="34" customHeight="1" spans="2:9">
      <c r="B3" s="2" t="s">
        <v>1</v>
      </c>
    </row>
    <row r="5" ht="24" customHeight="1" spans="2:9">
      <c r="B5" s="64" t="s">
        <v>2</v>
      </c>
    </row>
    <row r="6" ht="22" customHeight="1" spans="2:9">
      <c r="B6" s="65" t="s">
        <v>3</v>
      </c>
      <c r="C6" s="66"/>
      <c r="D6" s="65" t="s">
        <v>4</v>
      </c>
      <c r="E6" s="66"/>
      <c r="F6" s="67" t="s">
        <v>5</v>
      </c>
      <c r="G6" s="66"/>
      <c r="H6" s="65" t="s">
        <v>6</v>
      </c>
      <c r="I6" s="66"/>
    </row>
    <row r="7" ht="33" customHeight="1" spans="2:9">
      <c r="B7" s="68">
        <f>'Funnel &amp; cost'!C7</f>
        <v>2500</v>
      </c>
      <c r="C7" s="66"/>
      <c r="D7" s="69">
        <f>'Funnel &amp; cost'!C28</f>
        <v>187.5</v>
      </c>
      <c r="E7" s="66"/>
      <c r="F7" s="70">
        <f>'Funnel &amp; cost'!D28</f>
        <v>50.2883333333333</v>
      </c>
      <c r="G7" s="66"/>
      <c r="H7" s="71">
        <f>'Funnel &amp; cost'!D32</f>
        <v>10.85</v>
      </c>
      <c r="I7" s="66"/>
    </row>
    <row r="8" ht="28" customHeight="1" spans="2:9">
      <c r="B8" s="72" t="s">
        <v>7</v>
      </c>
      <c r="C8" s="66"/>
      <c r="D8" s="72" t="s">
        <v>8</v>
      </c>
      <c r="E8" s="66"/>
      <c r="F8" s="73" t="s">
        <v>8</v>
      </c>
      <c r="G8" s="66"/>
      <c r="H8" s="72" t="s">
        <v>9</v>
      </c>
      <c r="I8" s="66"/>
    </row>
    <row r="10" ht="24" customHeight="1" spans="2:9">
      <c r="B10" s="74" t="s">
        <v>10</v>
      </c>
    </row>
    <row r="11" ht="26" customHeight="1" spans="2:9">
      <c r="B11" s="3" t="s">
        <v>11</v>
      </c>
      <c r="C11" s="75"/>
      <c r="D11" s="15" t="s">
        <v>4</v>
      </c>
      <c r="E11" s="75"/>
      <c r="F11" s="15" t="s">
        <v>5</v>
      </c>
      <c r="G11" s="75"/>
      <c r="H11" s="3" t="s">
        <v>12</v>
      </c>
      <c r="I11" s="75"/>
    </row>
    <row r="12" ht="30" customHeight="1" spans="2:9">
      <c r="B12" s="76" t="s">
        <v>13</v>
      </c>
      <c r="C12" s="20"/>
      <c r="D12" s="77">
        <f>'Funnel &amp; cost'!C28</f>
        <v>187.5</v>
      </c>
      <c r="E12" s="20"/>
      <c r="F12" s="78">
        <f>'Funnel &amp; cost'!D28</f>
        <v>50.2883333333333</v>
      </c>
      <c r="G12" s="20"/>
      <c r="H12" s="79" t="s">
        <v>14</v>
      </c>
      <c r="I12" s="20"/>
    </row>
    <row r="13" ht="30" customHeight="1" spans="2:9">
      <c r="B13" s="76" t="s">
        <v>15</v>
      </c>
      <c r="C13" s="20"/>
      <c r="D13" s="80">
        <f>'Funnel &amp; cost'!C36</f>
        <v>6375</v>
      </c>
      <c r="E13" s="20"/>
      <c r="F13" s="81">
        <f>'Funnel &amp; cost'!D36</f>
        <v>1720.65333333333</v>
      </c>
      <c r="G13" s="20"/>
      <c r="H13" s="79" t="s">
        <v>16</v>
      </c>
      <c r="I13" s="20"/>
    </row>
    <row r="14" ht="30" customHeight="1" spans="2:9">
      <c r="B14" s="76" t="s">
        <v>17</v>
      </c>
      <c r="C14" s="20"/>
      <c r="D14" s="82">
        <f>'Funnel &amp; cost'!C37</f>
        <v>2.55</v>
      </c>
      <c r="E14" s="20"/>
      <c r="F14" s="83">
        <f>'Funnel &amp; cost'!D37</f>
        <v>0.688261333333333</v>
      </c>
      <c r="G14" s="20"/>
      <c r="H14" s="79" t="s">
        <v>18</v>
      </c>
      <c r="I14" s="20"/>
    </row>
    <row r="15" ht="30" customHeight="1" spans="2:9">
      <c r="B15" s="76" t="s">
        <v>19</v>
      </c>
      <c r="C15" s="20"/>
      <c r="D15" s="84">
        <f>'Funnel &amp; cost'!C18</f>
        <v>1774</v>
      </c>
      <c r="E15" s="20"/>
      <c r="F15" s="85">
        <f>'Funnel &amp; cost'!D18</f>
        <v>1774</v>
      </c>
      <c r="G15" s="20"/>
      <c r="H15" s="79" t="s">
        <v>20</v>
      </c>
      <c r="I15" s="20"/>
    </row>
    <row r="16" ht="23" customHeight="1"/>
    <row r="17" ht="24" customHeight="1" spans="2:9">
      <c r="B17" s="64" t="s">
        <v>21</v>
      </c>
      <c r="F17" s="86" t="s">
        <v>22</v>
      </c>
    </row>
    <row r="18" ht="30" customHeight="1" spans="2:9">
      <c r="B18" s="87" t="s">
        <v>23</v>
      </c>
      <c r="F18" s="88" t="s">
        <v>24</v>
      </c>
      <c r="G18" s="89" t="s">
        <v>25</v>
      </c>
      <c r="H18" s="20"/>
      <c r="I18" s="20"/>
    </row>
    <row r="19" ht="30" customHeight="1" spans="2:9">
      <c r="F19" s="88" t="s">
        <v>26</v>
      </c>
      <c r="G19" s="89" t="s">
        <v>27</v>
      </c>
      <c r="H19" s="20"/>
      <c r="I19" s="20"/>
    </row>
    <row r="20" ht="30" customHeight="1" spans="2:9">
      <c r="F20" s="88" t="s">
        <v>28</v>
      </c>
      <c r="G20" s="89" t="s">
        <v>29</v>
      </c>
      <c r="H20" s="20"/>
      <c r="I20" s="20"/>
    </row>
    <row r="21" ht="30" customHeight="1" spans="2:9">
      <c r="F21" s="88" t="s">
        <v>30</v>
      </c>
      <c r="G21" s="89" t="s">
        <v>31</v>
      </c>
      <c r="H21" s="20"/>
      <c r="I21" s="20"/>
    </row>
    <row r="23" ht="24" customHeight="1" spans="2:9">
      <c r="B23" s="74" t="s">
        <v>32</v>
      </c>
    </row>
    <row r="24" ht="26" customHeight="1" spans="2:9">
      <c r="B24" s="90" t="s">
        <v>33</v>
      </c>
      <c r="C24" s="20"/>
      <c r="D24" s="91" t="s">
        <v>34</v>
      </c>
      <c r="E24" s="20"/>
      <c r="F24" s="20"/>
      <c r="G24" s="20"/>
      <c r="H24" s="20"/>
      <c r="I24" s="20"/>
    </row>
    <row r="25" ht="26" customHeight="1" spans="2:9">
      <c r="B25" s="90" t="s">
        <v>35</v>
      </c>
      <c r="C25" s="20"/>
      <c r="D25" s="91" t="s">
        <v>36</v>
      </c>
      <c r="E25" s="20"/>
      <c r="F25" s="20"/>
      <c r="G25" s="20"/>
      <c r="H25" s="20"/>
      <c r="I25" s="20"/>
    </row>
    <row r="26" ht="26" customHeight="1" spans="2:9">
      <c r="B26" s="90" t="s">
        <v>37</v>
      </c>
      <c r="C26" s="20"/>
      <c r="D26" s="91" t="s">
        <v>38</v>
      </c>
      <c r="E26" s="20"/>
      <c r="F26" s="20"/>
      <c r="G26" s="20"/>
      <c r="H26" s="20"/>
      <c r="I26" s="20"/>
    </row>
    <row r="27" ht="26" customHeight="1" spans="2:9">
      <c r="B27" s="90" t="s">
        <v>39</v>
      </c>
      <c r="C27" s="20"/>
      <c r="D27" s="91" t="s">
        <v>40</v>
      </c>
      <c r="E27" s="20"/>
      <c r="F27" s="20"/>
      <c r="G27" s="20"/>
      <c r="H27" s="20"/>
      <c r="I27" s="20"/>
    </row>
    <row r="28" ht="26" customHeight="1" spans="2:9">
      <c r="B28" s="90" t="s">
        <v>41</v>
      </c>
      <c r="C28" s="20"/>
      <c r="D28" s="91" t="s">
        <v>42</v>
      </c>
      <c r="E28" s="20"/>
      <c r="F28" s="20"/>
      <c r="G28" s="20"/>
      <c r="H28" s="20"/>
      <c r="I28" s="20"/>
    </row>
    <row r="30" ht="28" customHeight="1" spans="2:9">
      <c r="B30" s="92" t="s">
        <v>43</v>
      </c>
    </row>
  </sheetData>
  <mergeCells count="55">
    <mergeCell ref="B2:I2"/>
    <mergeCell ref="B3:I3"/>
    <mergeCell ref="B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7:E17"/>
    <mergeCell ref="F17:I17"/>
    <mergeCell ref="G18:I18"/>
    <mergeCell ref="G19:I19"/>
    <mergeCell ref="G20:I20"/>
    <mergeCell ref="G21:I21"/>
    <mergeCell ref="B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30:I30"/>
    <mergeCell ref="B18:E21"/>
  </mergeCells>
  <pageMargins left="0.35" right="0.35" top="0.5" bottom="0.5" header="0.2" footer="0.2"/>
  <pageSetup paperSize="1" orientation="portrait"/>
  <headerFooter>
    <oddHeader>&amp;C&amp;8 &amp;K5B6877Yi Shao | ATM prospecting cost model</oddHeader>
    <oddFooter>&amp;L&amp;8 &amp;K5B6877Overview&amp;C&amp;8 Yi Shao · ATM Prospecting Cost Model&amp;R&amp;8 &amp;K5B6877Page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8B8C"/>
    <pageSetUpPr fitToPage="1"/>
  </sheetPr>
  <dimension ref="B1:F39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 outlineLevelCol="5"/>
  <cols>
    <col min="1" max="1" width="3.63636363636364" customWidth="1"/>
    <col min="2" max="2" width="39" customWidth="1"/>
    <col min="3" max="3" width="18" customWidth="1"/>
    <col min="4" max="4" width="19" customWidth="1"/>
    <col min="5" max="5" width="16" customWidth="1"/>
    <col min="6" max="6" width="64" customWidth="1"/>
  </cols>
  <sheetData>
    <row r="1" ht="10" customHeight="1"/>
    <row r="2" ht="36" customHeight="1" spans="2:6">
      <c r="B2" s="1" t="s">
        <v>44</v>
      </c>
    </row>
    <row r="3" ht="34" customHeight="1" spans="2:6">
      <c r="B3" s="2" t="s">
        <v>45</v>
      </c>
    </row>
    <row r="5" ht="28" customHeight="1" spans="2:6">
      <c r="B5" s="3" t="s">
        <v>11</v>
      </c>
      <c r="C5" s="3" t="s">
        <v>4</v>
      </c>
      <c r="D5" s="3" t="s">
        <v>5</v>
      </c>
      <c r="E5" s="3" t="s">
        <v>46</v>
      </c>
      <c r="F5" s="3" t="s">
        <v>47</v>
      </c>
    </row>
    <row r="6" ht="24" customHeight="1" spans="2:6">
      <c r="B6" s="8" t="s">
        <v>48</v>
      </c>
      <c r="C6" s="9"/>
      <c r="D6" s="9"/>
      <c r="E6" s="9"/>
      <c r="F6" s="9"/>
    </row>
    <row r="7" ht="19" customHeight="1" spans="2:6">
      <c r="B7" s="33" t="s">
        <v>49</v>
      </c>
      <c r="C7" s="5">
        <f>Assumptions!C6</f>
        <v>2500</v>
      </c>
      <c r="D7" s="5">
        <f>Assumptions!C6</f>
        <v>2500</v>
      </c>
      <c r="E7" s="5" t="s">
        <v>50</v>
      </c>
      <c r="F7" s="33" t="s">
        <v>51</v>
      </c>
    </row>
    <row r="8" ht="19" customHeight="1" spans="2:6">
      <c r="B8" s="33" t="s">
        <v>52</v>
      </c>
      <c r="C8" s="53" t="s">
        <v>53</v>
      </c>
      <c r="D8" s="53">
        <f>Assumptions!C12*(1-Assumptions!C17)</f>
        <v>88.3809523809524</v>
      </c>
      <c r="E8" s="5" t="s">
        <v>54</v>
      </c>
      <c r="F8" s="33" t="s">
        <v>55</v>
      </c>
    </row>
    <row r="9" ht="19" customHeight="1" spans="2:6">
      <c r="B9" s="33" t="s">
        <v>56</v>
      </c>
      <c r="C9" s="5" t="s">
        <v>53</v>
      </c>
      <c r="D9" s="34">
        <f>ROUNDUP(D7/D8,0)</f>
        <v>29</v>
      </c>
      <c r="E9" s="5" t="s">
        <v>57</v>
      </c>
      <c r="F9" s="33" t="s">
        <v>58</v>
      </c>
    </row>
    <row r="10" ht="19" customHeight="1" spans="2:6">
      <c r="B10" s="33" t="s">
        <v>59</v>
      </c>
      <c r="C10" s="53" t="s">
        <v>53</v>
      </c>
      <c r="D10" s="53">
        <f>D9*Assumptions!C12</f>
        <v>2708.04761904762</v>
      </c>
      <c r="E10" s="5" t="s">
        <v>60</v>
      </c>
      <c r="F10" s="33" t="s">
        <v>61</v>
      </c>
    </row>
    <row r="11" ht="19" customHeight="1" spans="2:6">
      <c r="B11" s="33" t="s">
        <v>62</v>
      </c>
      <c r="C11" s="53" t="s">
        <v>53</v>
      </c>
      <c r="D11" s="53">
        <f>D10*Assumptions!C17</f>
        <v>145</v>
      </c>
      <c r="E11" s="5" t="s">
        <v>63</v>
      </c>
      <c r="F11" s="33" t="s">
        <v>64</v>
      </c>
    </row>
    <row r="12" ht="19" customHeight="1" spans="2:6">
      <c r="B12" s="33" t="s">
        <v>65</v>
      </c>
      <c r="C12" s="53" t="s">
        <v>53</v>
      </c>
      <c r="D12" s="53">
        <f>D10-D11</f>
        <v>2563.04761904762</v>
      </c>
      <c r="E12" s="5" t="s">
        <v>66</v>
      </c>
      <c r="F12" s="33" t="s">
        <v>67</v>
      </c>
    </row>
    <row r="13" ht="19" customHeight="1" spans="2:6">
      <c r="B13" s="33" t="s">
        <v>68</v>
      </c>
      <c r="C13" s="53" t="s">
        <v>53</v>
      </c>
      <c r="D13" s="53">
        <f>MAX(0,D12-D7)</f>
        <v>63.0476190476188</v>
      </c>
      <c r="E13" s="5" t="s">
        <v>66</v>
      </c>
      <c r="F13" s="33" t="s">
        <v>69</v>
      </c>
    </row>
    <row r="14" ht="19" customHeight="1" spans="2:6">
      <c r="B14" s="33" t="s">
        <v>70</v>
      </c>
      <c r="C14" s="24">
        <f>ROUND(C7*Assumptions!C14,0)</f>
        <v>1467</v>
      </c>
      <c r="D14" s="24">
        <f>ROUND(D7*Assumptions!C14,0)</f>
        <v>1467</v>
      </c>
      <c r="E14" s="5" t="s">
        <v>50</v>
      </c>
      <c r="F14" s="33" t="s">
        <v>71</v>
      </c>
    </row>
    <row r="15" ht="19" customHeight="1" spans="2:6">
      <c r="B15" s="33" t="s">
        <v>72</v>
      </c>
      <c r="C15" s="24">
        <f>ROUND(C7*Assumptions!C15,0)</f>
        <v>614</v>
      </c>
      <c r="D15" s="24">
        <f>ROUND(D7*Assumptions!C15,0)</f>
        <v>614</v>
      </c>
      <c r="E15" s="5" t="s">
        <v>50</v>
      </c>
      <c r="F15" s="33" t="s">
        <v>73</v>
      </c>
    </row>
    <row r="16" ht="19" customHeight="1" spans="2:6">
      <c r="B16" s="33" t="s">
        <v>74</v>
      </c>
      <c r="C16" s="24">
        <f>C7-C14-C15</f>
        <v>419</v>
      </c>
      <c r="D16" s="24">
        <f>D7-D14-D15</f>
        <v>419</v>
      </c>
      <c r="E16" s="5" t="s">
        <v>50</v>
      </c>
      <c r="F16" s="33" t="s">
        <v>75</v>
      </c>
    </row>
    <row r="17" ht="19" customHeight="1" spans="2:6">
      <c r="B17" s="33" t="s">
        <v>76</v>
      </c>
      <c r="C17" s="24">
        <f>ROUND(C15*Assumptions!C18,0)</f>
        <v>307</v>
      </c>
      <c r="D17" s="24">
        <f>ROUND(D15*Assumptions!C18,0)</f>
        <v>307</v>
      </c>
      <c r="E17" s="5" t="s">
        <v>50</v>
      </c>
      <c r="F17" s="33" t="s">
        <v>77</v>
      </c>
    </row>
    <row r="18" ht="19" customHeight="1" spans="2:6">
      <c r="B18" s="33" t="s">
        <v>19</v>
      </c>
      <c r="C18" s="24">
        <f>C14+C17</f>
        <v>1774</v>
      </c>
      <c r="D18" s="24">
        <f>D14+D17</f>
        <v>1774</v>
      </c>
      <c r="E18" s="5" t="s">
        <v>50</v>
      </c>
      <c r="F18" s="33" t="s">
        <v>20</v>
      </c>
    </row>
    <row r="19" ht="19" customHeight="1" spans="2:6">
      <c r="B19" s="33" t="s">
        <v>78</v>
      </c>
      <c r="C19" s="24">
        <f>SUM(C14:C16)</f>
        <v>2500</v>
      </c>
      <c r="D19" s="24">
        <f>SUM(D14:D16)</f>
        <v>2500</v>
      </c>
      <c r="E19" s="5" t="s">
        <v>50</v>
      </c>
      <c r="F19" s="33" t="s">
        <v>79</v>
      </c>
    </row>
    <row r="20" ht="24" customHeight="1" spans="2:6">
      <c r="B20" s="8" t="s">
        <v>80</v>
      </c>
      <c r="C20" s="9"/>
      <c r="D20" s="9"/>
      <c r="E20" s="9"/>
      <c r="F20" s="9"/>
    </row>
    <row r="21" ht="19" customHeight="1" spans="2:6">
      <c r="B21" s="33" t="s">
        <v>81</v>
      </c>
      <c r="C21" s="5">
        <v>0</v>
      </c>
      <c r="D21" s="5">
        <f>D9*Assumptions!C22</f>
        <v>87</v>
      </c>
      <c r="E21" s="5" t="s">
        <v>82</v>
      </c>
      <c r="F21" s="33" t="s">
        <v>83</v>
      </c>
    </row>
    <row r="22" ht="19" customHeight="1" spans="2:6">
      <c r="B22" s="33" t="s">
        <v>84</v>
      </c>
      <c r="C22" s="5">
        <f>C7*Assumptions!C9</f>
        <v>11250</v>
      </c>
      <c r="D22" s="5">
        <f>D7*Assumptions!C20/60</f>
        <v>1250</v>
      </c>
      <c r="E22" s="5" t="s">
        <v>82</v>
      </c>
      <c r="F22" s="33" t="s">
        <v>85</v>
      </c>
    </row>
    <row r="23" ht="19" customHeight="1" spans="2:6">
      <c r="B23" s="33" t="s">
        <v>86</v>
      </c>
      <c r="C23" s="5">
        <v>0</v>
      </c>
      <c r="D23" s="5">
        <f>D15*Assumptions!C21</f>
        <v>1228</v>
      </c>
      <c r="E23" s="5" t="s">
        <v>82</v>
      </c>
      <c r="F23" s="33" t="s">
        <v>87</v>
      </c>
    </row>
    <row r="24" ht="19" customHeight="1" spans="2:6">
      <c r="B24" s="33" t="s">
        <v>88</v>
      </c>
      <c r="C24" s="5">
        <v>0</v>
      </c>
      <c r="D24" s="5">
        <f>D9*Assumptions!C23</f>
        <v>58</v>
      </c>
      <c r="E24" s="5" t="s">
        <v>82</v>
      </c>
      <c r="F24" s="33" t="s">
        <v>89</v>
      </c>
    </row>
    <row r="25" ht="19" customHeight="1" spans="2:6">
      <c r="B25" s="33" t="s">
        <v>90</v>
      </c>
      <c r="C25" s="5">
        <v>0</v>
      </c>
      <c r="D25" s="5">
        <f>Assumptions!C24*60</f>
        <v>120</v>
      </c>
      <c r="E25" s="5" t="s">
        <v>82</v>
      </c>
      <c r="F25" s="33" t="s">
        <v>91</v>
      </c>
    </row>
    <row r="26" ht="19" customHeight="1" spans="2:6">
      <c r="B26" s="33" t="s">
        <v>92</v>
      </c>
      <c r="C26" s="5">
        <f>SUM(C21:C25)</f>
        <v>11250</v>
      </c>
      <c r="D26" s="5">
        <f>SUM(D21:D25)</f>
        <v>2743</v>
      </c>
      <c r="E26" s="5" t="s">
        <v>82</v>
      </c>
      <c r="F26" s="33" t="s">
        <v>93</v>
      </c>
    </row>
    <row r="27" ht="19" customHeight="1" spans="2:6">
      <c r="B27" s="33" t="s">
        <v>94</v>
      </c>
      <c r="C27" s="5">
        <v>0</v>
      </c>
      <c r="D27" s="5">
        <f>D26*Assumptions!C25</f>
        <v>274.3</v>
      </c>
      <c r="E27" s="5" t="s">
        <v>82</v>
      </c>
      <c r="F27" s="33" t="s">
        <v>95</v>
      </c>
    </row>
    <row r="28" ht="19" customHeight="1" spans="2:6">
      <c r="B28" s="54" t="s">
        <v>96</v>
      </c>
      <c r="C28" s="55">
        <f>(C26+C27)/60</f>
        <v>187.5</v>
      </c>
      <c r="D28" s="56">
        <f>(D26+D27)/60</f>
        <v>50.2883333333333</v>
      </c>
      <c r="E28" s="57" t="s">
        <v>97</v>
      </c>
      <c r="F28" s="54" t="s">
        <v>98</v>
      </c>
    </row>
    <row r="29" ht="19" customHeight="1" spans="2:6">
      <c r="B29" s="54" t="s">
        <v>99</v>
      </c>
      <c r="C29" s="58">
        <f>C28*Assumptions!C10</f>
        <v>6375</v>
      </c>
      <c r="D29" s="59">
        <f>D28*Assumptions!C10</f>
        <v>1709.80333333333</v>
      </c>
      <c r="E29" s="57"/>
      <c r="F29" s="54" t="s">
        <v>100</v>
      </c>
    </row>
    <row r="30" ht="24" customHeight="1" spans="2:6">
      <c r="B30" s="41" t="s">
        <v>101</v>
      </c>
      <c r="C30" s="9"/>
      <c r="D30" s="9"/>
      <c r="E30" s="9"/>
      <c r="F30" s="9"/>
    </row>
    <row r="31" ht="19" customHeight="1" spans="2:6">
      <c r="B31" s="33" t="s">
        <v>102</v>
      </c>
      <c r="C31" s="5">
        <v>0</v>
      </c>
      <c r="D31" s="34">
        <f>ROUNDUP(D9*Assumptions!C13,0)</f>
        <v>310</v>
      </c>
      <c r="E31" s="5" t="s">
        <v>103</v>
      </c>
      <c r="F31" s="33" t="s">
        <v>104</v>
      </c>
    </row>
    <row r="32" ht="19" customHeight="1" spans="2:6">
      <c r="B32" s="33" t="s">
        <v>105</v>
      </c>
      <c r="C32" s="7">
        <v>0</v>
      </c>
      <c r="D32" s="7">
        <f>D31*Assumptions!C27/1000</f>
        <v>10.85</v>
      </c>
      <c r="E32" s="5"/>
      <c r="F32" s="33" t="s">
        <v>106</v>
      </c>
    </row>
    <row r="33" ht="19" customHeight="1" spans="2:6">
      <c r="B33" s="33" t="s">
        <v>107</v>
      </c>
      <c r="C33" s="5">
        <v>0</v>
      </c>
      <c r="D33" s="34">
        <f>MIN(D31,Assumptions!C28*Assumptions!C29)</f>
        <v>0</v>
      </c>
      <c r="E33" s="5" t="s">
        <v>108</v>
      </c>
      <c r="F33" s="33" t="s">
        <v>109</v>
      </c>
    </row>
    <row r="34" ht="19" customHeight="1" spans="2:6">
      <c r="B34" s="33" t="s">
        <v>110</v>
      </c>
      <c r="C34" s="7">
        <v>0</v>
      </c>
      <c r="D34" s="7">
        <f>D33*Assumptions!C27/1000</f>
        <v>0</v>
      </c>
      <c r="E34" s="5"/>
      <c r="F34" s="33" t="s">
        <v>111</v>
      </c>
    </row>
    <row r="35" ht="19" customHeight="1" spans="2:6">
      <c r="B35" s="33" t="s">
        <v>112</v>
      </c>
      <c r="C35" s="7">
        <v>0</v>
      </c>
      <c r="D35" s="7">
        <f>MAX(0,D32-D34)</f>
        <v>10.85</v>
      </c>
      <c r="E35" s="5"/>
      <c r="F35" s="33" t="s">
        <v>113</v>
      </c>
    </row>
    <row r="36" ht="19" customHeight="1" spans="2:6">
      <c r="B36" s="36" t="s">
        <v>114</v>
      </c>
      <c r="C36" s="37">
        <f>C29</f>
        <v>6375</v>
      </c>
      <c r="D36" s="60">
        <f>D29+D35</f>
        <v>1720.65333333333</v>
      </c>
      <c r="E36" s="61"/>
      <c r="F36" s="36" t="s">
        <v>115</v>
      </c>
    </row>
    <row r="37" ht="19" customHeight="1" spans="2:6">
      <c r="B37" s="54" t="s">
        <v>116</v>
      </c>
      <c r="C37" s="62">
        <f>C36/C7</f>
        <v>2.55</v>
      </c>
      <c r="D37" s="63">
        <f>D36/D7</f>
        <v>0.688261333333333</v>
      </c>
      <c r="E37" s="57"/>
      <c r="F37" s="54" t="s">
        <v>117</v>
      </c>
    </row>
    <row r="38" ht="19" customHeight="1" spans="2:6">
      <c r="B38" s="54" t="s">
        <v>118</v>
      </c>
      <c r="C38" s="62">
        <f>C36/C18</f>
        <v>3.59357384441939</v>
      </c>
      <c r="D38" s="63">
        <f>D36/D18</f>
        <v>0.969928598271326</v>
      </c>
      <c r="E38" s="57"/>
      <c r="F38" s="54" t="s">
        <v>119</v>
      </c>
    </row>
    <row r="39" ht="19" customHeight="1" spans="2:6">
      <c r="B39" s="54" t="s">
        <v>120</v>
      </c>
      <c r="C39" s="40">
        <f>C36-D36</f>
        <v>4654.34666666667</v>
      </c>
      <c r="D39" s="59" t="s">
        <v>53</v>
      </c>
      <c r="E39" s="57"/>
      <c r="F39" s="54" t="s">
        <v>121</v>
      </c>
    </row>
  </sheetData>
  <mergeCells count="5">
    <mergeCell ref="B2:F2"/>
    <mergeCell ref="B3:F3"/>
    <mergeCell ref="B6:F6"/>
    <mergeCell ref="B20:F20"/>
    <mergeCell ref="B30:F30"/>
  </mergeCells>
  <conditionalFormatting sqref="C19:D19">
    <cfRule type="cellIs" dxfId="0" priority="1" operator="notEqual">
      <formula>$C$7</formula>
    </cfRule>
  </conditionalFormatting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&amp;K5B6877Funnel &amp; cost&amp;C&amp;8 Yi Shao · ATM Prospecting Cost Model&amp;R&amp;8 &amp;K5B6877Page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5B548"/>
    <pageSetUpPr fitToPage="1"/>
  </sheetPr>
  <dimension ref="B1:G32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 outlineLevelCol="6"/>
  <cols>
    <col min="1" max="1" width="3.63636363636364" customWidth="1"/>
    <col min="2" max="2" width="37" customWidth="1"/>
    <col min="3" max="3" width="16" customWidth="1"/>
    <col min="4" max="4" width="18" customWidth="1"/>
    <col min="5" max="5" width="21" customWidth="1"/>
    <col min="6" max="6" width="26" customWidth="1"/>
    <col min="7" max="7" width="52" customWidth="1"/>
  </cols>
  <sheetData>
    <row r="1" ht="10" customHeight="1"/>
    <row r="2" ht="36" customHeight="1" spans="2:7">
      <c r="B2" s="1" t="s">
        <v>122</v>
      </c>
    </row>
    <row r="3" ht="34" customHeight="1" spans="2:7">
      <c r="B3" s="2" t="s">
        <v>123</v>
      </c>
    </row>
    <row r="5" ht="28" customHeight="1" spans="2:7">
      <c r="B5" s="3" t="s">
        <v>124</v>
      </c>
      <c r="C5" s="3" t="s">
        <v>125</v>
      </c>
      <c r="D5" s="3" t="s">
        <v>46</v>
      </c>
      <c r="E5" s="3" t="s">
        <v>126</v>
      </c>
      <c r="F5" s="3" t="s">
        <v>127</v>
      </c>
      <c r="G5" s="3" t="s">
        <v>47</v>
      </c>
    </row>
    <row r="6" ht="20" customHeight="1" spans="2:7">
      <c r="B6" s="33" t="s">
        <v>49</v>
      </c>
      <c r="C6" s="27">
        <v>2500</v>
      </c>
      <c r="D6" s="5" t="s">
        <v>128</v>
      </c>
      <c r="E6" s="5" t="s">
        <v>129</v>
      </c>
      <c r="F6" s="5" t="s">
        <v>130</v>
      </c>
      <c r="G6" s="33" t="s">
        <v>131</v>
      </c>
    </row>
    <row r="7" ht="20" customHeight="1" spans="2:7">
      <c r="B7" s="33" t="s">
        <v>132</v>
      </c>
      <c r="C7" s="44">
        <f>INDEX('Source register'!$D$6:$D$31,MATCH("manual_target_per_day",'Source register'!$B$6:$B$31,0))</f>
        <v>40</v>
      </c>
      <c r="D7" s="5" t="s">
        <v>133</v>
      </c>
      <c r="E7" s="5" t="s">
        <v>134</v>
      </c>
      <c r="F7" s="5" t="s">
        <v>135</v>
      </c>
      <c r="G7" s="33" t="s">
        <v>136</v>
      </c>
    </row>
    <row r="8" ht="20" customHeight="1" spans="2:7">
      <c r="B8" s="33" t="s">
        <v>137</v>
      </c>
      <c r="C8" s="44">
        <f>INDEX('Source register'!$D$6:$D$31,MATCH("manual_hours_per_day",'Source register'!$B$6:$B$31,0))</f>
        <v>3</v>
      </c>
      <c r="D8" s="5" t="s">
        <v>138</v>
      </c>
      <c r="E8" s="5" t="s">
        <v>134</v>
      </c>
      <c r="F8" s="5" t="s">
        <v>139</v>
      </c>
      <c r="G8" s="33" t="s">
        <v>140</v>
      </c>
    </row>
    <row r="9" ht="20" customHeight="1" spans="2:7">
      <c r="B9" s="33" t="s">
        <v>141</v>
      </c>
      <c r="C9" s="45">
        <f>C8*60/C7</f>
        <v>4.5</v>
      </c>
      <c r="D9" s="5" t="s">
        <v>142</v>
      </c>
      <c r="E9" s="5" t="s">
        <v>143</v>
      </c>
      <c r="F9" s="5" t="s">
        <v>144</v>
      </c>
      <c r="G9" s="33" t="s">
        <v>145</v>
      </c>
    </row>
    <row r="10" ht="20" customHeight="1" spans="2:7">
      <c r="B10" s="33" t="s">
        <v>146</v>
      </c>
      <c r="C10" s="28">
        <v>34</v>
      </c>
      <c r="D10" s="5" t="s">
        <v>147</v>
      </c>
      <c r="E10" s="5" t="s">
        <v>129</v>
      </c>
      <c r="F10" s="5" t="s">
        <v>130</v>
      </c>
      <c r="G10" s="33" t="s">
        <v>148</v>
      </c>
    </row>
    <row r="11" ht="24" customHeight="1" spans="2:7">
      <c r="B11" s="8" t="s">
        <v>149</v>
      </c>
      <c r="C11" s="9"/>
      <c r="D11" s="9"/>
      <c r="E11" s="9"/>
      <c r="F11" s="9"/>
      <c r="G11" s="9"/>
    </row>
    <row r="12" ht="20" customHeight="1" spans="2:7">
      <c r="B12" s="33" t="s">
        <v>150</v>
      </c>
      <c r="C12" s="44">
        <f>INDEX('Source register'!$D$6:$D$31,MATCH("val_results_per_search",'Source register'!$B$6:$B$31,0))</f>
        <v>93.3809523809524</v>
      </c>
      <c r="D12" s="5" t="s">
        <v>151</v>
      </c>
      <c r="E12" s="5" t="s">
        <v>152</v>
      </c>
      <c r="F12" s="5" t="s">
        <v>153</v>
      </c>
      <c r="G12" s="33" t="s">
        <v>154</v>
      </c>
    </row>
    <row r="13" ht="20" customHeight="1" spans="2:7">
      <c r="B13" s="33" t="s">
        <v>155</v>
      </c>
      <c r="C13" s="44">
        <f>INDEX('Source register'!$D$6:$D$31,MATCH("val_calls_per_search",'Source register'!$B$6:$B$31,0))</f>
        <v>10.6666666666667</v>
      </c>
      <c r="D13" s="5" t="s">
        <v>156</v>
      </c>
      <c r="E13" s="5" t="s">
        <v>152</v>
      </c>
      <c r="F13" s="5" t="s">
        <v>157</v>
      </c>
      <c r="G13" s="33" t="s">
        <v>158</v>
      </c>
    </row>
    <row r="14" ht="20" customHeight="1" spans="2:7">
      <c r="B14" s="33" t="s">
        <v>159</v>
      </c>
      <c r="C14" s="46">
        <f>INDEX('Source register'!$D$6:$D$31,MATCH("val_ready_count",'Source register'!$B$6:$B$31,0))/INDEX('Source register'!$D$6:$D$31,MATCH("val_bucket_total",'Source register'!$B$6:$B$31,0))</f>
        <v>0.586745689655172</v>
      </c>
      <c r="D14" s="5" t="s">
        <v>160</v>
      </c>
      <c r="E14" s="5" t="s">
        <v>143</v>
      </c>
      <c r="F14" s="5" t="s">
        <v>161</v>
      </c>
      <c r="G14" s="33" t="s">
        <v>162</v>
      </c>
    </row>
    <row r="15" ht="20" customHeight="1" spans="2:7">
      <c r="B15" s="33" t="s">
        <v>163</v>
      </c>
      <c r="C15" s="46">
        <f>INDEX('Source register'!$D$6:$D$31,MATCH("val_verify_count",'Source register'!$B$6:$B$31,0))/INDEX('Source register'!$D$6:$D$31,MATCH("val_bucket_total",'Source register'!$B$6:$B$31,0))</f>
        <v>0.245689655172414</v>
      </c>
      <c r="D15" s="5" t="s">
        <v>160</v>
      </c>
      <c r="E15" s="5" t="s">
        <v>143</v>
      </c>
      <c r="F15" s="5" t="s">
        <v>164</v>
      </c>
      <c r="G15" s="33" t="s">
        <v>165</v>
      </c>
    </row>
    <row r="16" ht="20" customHeight="1" spans="2:7">
      <c r="B16" s="33" t="s">
        <v>166</v>
      </c>
      <c r="C16" s="46">
        <f>INDEX('Source register'!$D$6:$D$31,MATCH("val_not_viable_count",'Source register'!$B$6:$B$31,0))/INDEX('Source register'!$D$6:$D$31,MATCH("val_bucket_total",'Source register'!$B$6:$B$31,0))</f>
        <v>0.167564655172414</v>
      </c>
      <c r="D16" s="5" t="s">
        <v>160</v>
      </c>
      <c r="E16" s="5" t="s">
        <v>143</v>
      </c>
      <c r="F16" s="5" t="s">
        <v>167</v>
      </c>
      <c r="G16" s="33" t="s">
        <v>168</v>
      </c>
    </row>
    <row r="17" ht="20" customHeight="1" spans="2:7">
      <c r="B17" s="33" t="s">
        <v>169</v>
      </c>
      <c r="C17" s="31">
        <f>INDEX('Source register'!$D$6:$D$31,MATCH("val_overlap_rate",'Source register'!$B$6:$B$31,0))</f>
        <v>0.0535441101478837</v>
      </c>
      <c r="D17" s="5" t="s">
        <v>160</v>
      </c>
      <c r="E17" s="5" t="s">
        <v>152</v>
      </c>
      <c r="F17" s="5" t="s">
        <v>170</v>
      </c>
      <c r="G17" s="33" t="s">
        <v>171</v>
      </c>
    </row>
    <row r="18" ht="20" customHeight="1" spans="2:7">
      <c r="B18" s="33" t="s">
        <v>172</v>
      </c>
      <c r="C18" s="47">
        <v>0.5</v>
      </c>
      <c r="D18" s="5" t="s">
        <v>160</v>
      </c>
      <c r="E18" s="5" t="s">
        <v>129</v>
      </c>
      <c r="F18" s="5" t="s">
        <v>130</v>
      </c>
      <c r="G18" s="33" t="s">
        <v>173</v>
      </c>
    </row>
    <row r="19" ht="24" customHeight="1" spans="2:7">
      <c r="B19" s="8" t="s">
        <v>80</v>
      </c>
      <c r="C19" s="9"/>
      <c r="D19" s="9"/>
      <c r="E19" s="9"/>
      <c r="F19" s="9"/>
      <c r="G19" s="9"/>
    </row>
    <row r="20" ht="20" customHeight="1" spans="2:7">
      <c r="B20" s="33" t="s">
        <v>174</v>
      </c>
      <c r="C20" s="27">
        <v>30</v>
      </c>
      <c r="D20" s="5" t="s">
        <v>175</v>
      </c>
      <c r="E20" s="5" t="s">
        <v>129</v>
      </c>
      <c r="F20" s="5" t="s">
        <v>130</v>
      </c>
      <c r="G20" s="33" t="s">
        <v>176</v>
      </c>
    </row>
    <row r="21" ht="20" customHeight="1" spans="2:7">
      <c r="B21" s="33" t="s">
        <v>177</v>
      </c>
      <c r="C21" s="27">
        <v>2</v>
      </c>
      <c r="D21" s="5" t="s">
        <v>178</v>
      </c>
      <c r="E21" s="5" t="s">
        <v>129</v>
      </c>
      <c r="F21" s="5" t="s">
        <v>130</v>
      </c>
      <c r="G21" s="33" t="s">
        <v>179</v>
      </c>
    </row>
    <row r="22" ht="20" customHeight="1" spans="2:7">
      <c r="B22" s="33" t="s">
        <v>180</v>
      </c>
      <c r="C22" s="27">
        <v>3</v>
      </c>
      <c r="D22" s="5" t="s">
        <v>181</v>
      </c>
      <c r="E22" s="5" t="s">
        <v>129</v>
      </c>
      <c r="F22" s="5" t="s">
        <v>130</v>
      </c>
      <c r="G22" s="33" t="s">
        <v>182</v>
      </c>
    </row>
    <row r="23" ht="20" customHeight="1" spans="2:7">
      <c r="B23" s="33" t="s">
        <v>88</v>
      </c>
      <c r="C23" s="27">
        <v>2</v>
      </c>
      <c r="D23" s="5" t="s">
        <v>181</v>
      </c>
      <c r="E23" s="5" t="s">
        <v>129</v>
      </c>
      <c r="F23" s="5" t="s">
        <v>130</v>
      </c>
      <c r="G23" s="33" t="s">
        <v>89</v>
      </c>
    </row>
    <row r="24" ht="20" customHeight="1" spans="2:7">
      <c r="B24" s="33" t="s">
        <v>183</v>
      </c>
      <c r="C24" s="27">
        <v>2</v>
      </c>
      <c r="D24" s="5" t="s">
        <v>184</v>
      </c>
      <c r="E24" s="5" t="s">
        <v>129</v>
      </c>
      <c r="F24" s="5" t="s">
        <v>130</v>
      </c>
      <c r="G24" s="33" t="s">
        <v>185</v>
      </c>
    </row>
    <row r="25" ht="20" customHeight="1" spans="2:7">
      <c r="B25" s="33" t="s">
        <v>94</v>
      </c>
      <c r="C25" s="47">
        <v>0.1</v>
      </c>
      <c r="D25" s="5" t="s">
        <v>186</v>
      </c>
      <c r="E25" s="5" t="s">
        <v>129</v>
      </c>
      <c r="F25" s="5" t="s">
        <v>130</v>
      </c>
      <c r="G25" s="33" t="s">
        <v>187</v>
      </c>
    </row>
    <row r="26" ht="24" customHeight="1" spans="2:7">
      <c r="B26" s="41" t="s">
        <v>188</v>
      </c>
      <c r="C26" s="9"/>
      <c r="D26" s="9"/>
      <c r="E26" s="9"/>
      <c r="F26" s="9"/>
      <c r="G26" s="9"/>
    </row>
    <row r="27" ht="20" customHeight="1" spans="2:7">
      <c r="B27" s="33" t="s">
        <v>189</v>
      </c>
      <c r="C27" s="48">
        <f>INDEX('Source register'!$D$6:$D$31,MATCH("api_text_search_price",'Source register'!$B$6:$B$31,0))</f>
        <v>35</v>
      </c>
      <c r="D27" s="5" t="s">
        <v>190</v>
      </c>
      <c r="E27" s="5" t="s">
        <v>191</v>
      </c>
      <c r="F27" s="5" t="s">
        <v>192</v>
      </c>
      <c r="G27" s="33" t="s">
        <v>193</v>
      </c>
    </row>
    <row r="28" ht="20" customHeight="1" spans="2:7">
      <c r="B28" s="33" t="s">
        <v>194</v>
      </c>
      <c r="C28" s="49">
        <f>INDEX('Source register'!$D$6:$D$31,MATCH("api_monthly_free_cap",'Source register'!$B$6:$B$31,0))</f>
        <v>1000</v>
      </c>
      <c r="D28" s="5" t="s">
        <v>195</v>
      </c>
      <c r="E28" s="5" t="s">
        <v>196</v>
      </c>
      <c r="F28" s="5" t="s">
        <v>197</v>
      </c>
      <c r="G28" s="33" t="s">
        <v>198</v>
      </c>
    </row>
    <row r="29" ht="20" customHeight="1" spans="2:7">
      <c r="B29" s="33" t="s">
        <v>199</v>
      </c>
      <c r="C29" s="47">
        <v>0</v>
      </c>
      <c r="D29" s="5" t="s">
        <v>160</v>
      </c>
      <c r="E29" s="5" t="s">
        <v>129</v>
      </c>
      <c r="F29" s="5" t="s">
        <v>130</v>
      </c>
      <c r="G29" s="33" t="s">
        <v>200</v>
      </c>
    </row>
    <row r="30" spans="2:7">
      <c r="B30" s="50"/>
      <c r="C30" s="50"/>
      <c r="D30" s="50"/>
      <c r="E30" s="50"/>
      <c r="F30" s="50"/>
      <c r="G30" s="50"/>
    </row>
    <row r="31" spans="2:7">
      <c r="B31" s="50"/>
      <c r="C31" s="51"/>
      <c r="D31" s="50"/>
      <c r="E31" s="50"/>
      <c r="F31" s="50"/>
      <c r="G31" s="50"/>
    </row>
    <row r="32" spans="2:7">
      <c r="B32" s="50"/>
      <c r="C32" s="52"/>
      <c r="D32" s="50"/>
      <c r="E32" s="50"/>
      <c r="F32" s="50"/>
      <c r="G32" s="50"/>
    </row>
  </sheetData>
  <mergeCells count="5">
    <mergeCell ref="B2:G2"/>
    <mergeCell ref="B3:G3"/>
    <mergeCell ref="B11:G11"/>
    <mergeCell ref="B19:G19"/>
    <mergeCell ref="B26:G26"/>
  </mergeCells>
  <dataValidations count="3">
    <dataValidation type="whole" operator="greaterThanOrEqual" showErrorMessage="1" error="Enter at least one unique site." sqref="C6">
      <formula1>1</formula1>
    </dataValidation>
    <dataValidation type="decimal" operator="greaterThanOrEqual" showErrorMessage="1" error="Enter a value greater than or equal to zero." sqref="C10 C20:C24">
      <formula1>0</formula1>
    </dataValidation>
    <dataValidation type="decimal" operator="between" showErrorMessage="1" error="Enter a percentage between 0% and 100%." sqref="C25 C29 C17:C18">
      <formula1>0</formula1>
      <formula2>1</formula2>
    </dataValidation>
  </dataValidation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&amp;K5B6877Assumptions&amp;C&amp;8 Yi Shao · ATM Prospecting Cost Model&amp;R&amp;8 &amp;K5B6877Page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5B548"/>
    <pageSetUpPr fitToPage="1"/>
  </sheetPr>
  <dimension ref="B1:I35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/>
  <cols>
    <col min="1" max="1" width="3.63636363636364" customWidth="1"/>
    <col min="2" max="2" width="37" customWidth="1"/>
    <col min="3" max="5" width="18" customWidth="1"/>
    <col min="6" max="6" width="56" customWidth="1"/>
    <col min="7" max="9" width="12" customWidth="1"/>
  </cols>
  <sheetData>
    <row r="1" ht="10" customHeight="1"/>
    <row r="2" ht="36" customHeight="1" spans="2:9">
      <c r="B2" s="1" t="s">
        <v>201</v>
      </c>
    </row>
    <row r="3" ht="34" customHeight="1" spans="2:9">
      <c r="B3" s="2" t="s">
        <v>202</v>
      </c>
    </row>
    <row r="5" ht="28" customHeight="1" spans="2:9">
      <c r="B5" s="3" t="s">
        <v>203</v>
      </c>
      <c r="C5" s="3" t="s">
        <v>204</v>
      </c>
      <c r="D5" s="3" t="s">
        <v>205</v>
      </c>
      <c r="E5" s="3" t="s">
        <v>206</v>
      </c>
      <c r="F5" s="3" t="s">
        <v>47</v>
      </c>
    </row>
    <row r="6" ht="24" customHeight="1" spans="2:9">
      <c r="B6" s="8" t="s">
        <v>207</v>
      </c>
      <c r="C6" s="9"/>
      <c r="D6" s="9"/>
      <c r="E6" s="9"/>
      <c r="F6" s="9"/>
      <c r="G6" s="32"/>
      <c r="H6" s="32"/>
      <c r="I6" s="32"/>
    </row>
    <row r="7" ht="20" customHeight="1" spans="2:9">
      <c r="B7" s="33" t="s">
        <v>208</v>
      </c>
      <c r="C7" s="5">
        <v>49</v>
      </c>
      <c r="D7" s="5">
        <f>Assumptions!C12</f>
        <v>93.3809523809524</v>
      </c>
      <c r="E7" s="5">
        <v>131</v>
      </c>
      <c r="F7" s="33" t="s">
        <v>209</v>
      </c>
    </row>
    <row r="8" ht="20" customHeight="1" spans="2:9">
      <c r="B8" s="33" t="s">
        <v>210</v>
      </c>
      <c r="C8" s="6">
        <v>0.1</v>
      </c>
      <c r="D8" s="6">
        <f>Assumptions!C17</f>
        <v>0.0535441101478837</v>
      </c>
      <c r="E8" s="6">
        <v>0.03</v>
      </c>
      <c r="F8" s="33" t="s">
        <v>211</v>
      </c>
    </row>
    <row r="9" ht="20" customHeight="1" spans="2:9">
      <c r="B9" s="33" t="s">
        <v>212</v>
      </c>
      <c r="C9" s="5">
        <v>60</v>
      </c>
      <c r="D9" s="5">
        <f>Assumptions!C20</f>
        <v>30</v>
      </c>
      <c r="E9" s="5">
        <v>20</v>
      </c>
      <c r="F9" s="33" t="s">
        <v>213</v>
      </c>
    </row>
    <row r="10" ht="20" customHeight="1" spans="2:9">
      <c r="B10" s="33" t="s">
        <v>163</v>
      </c>
      <c r="C10" s="6">
        <v>0.2</v>
      </c>
      <c r="D10" s="6">
        <f>Assumptions!C15</f>
        <v>0.245689655172414</v>
      </c>
      <c r="E10" s="6">
        <v>0.08</v>
      </c>
      <c r="F10" s="33" t="s">
        <v>214</v>
      </c>
    </row>
    <row r="11" ht="20" customHeight="1" spans="2:9">
      <c r="B11" s="33" t="s">
        <v>215</v>
      </c>
      <c r="C11" s="5">
        <v>4</v>
      </c>
      <c r="D11" s="5">
        <f>Assumptions!C21</f>
        <v>2</v>
      </c>
      <c r="E11" s="5">
        <v>1</v>
      </c>
      <c r="F11" s="33" t="s">
        <v>216</v>
      </c>
    </row>
    <row r="12" ht="20" customHeight="1" spans="2:9">
      <c r="B12" s="33" t="s">
        <v>217</v>
      </c>
      <c r="C12" s="5">
        <v>5</v>
      </c>
      <c r="D12" s="5">
        <f>Assumptions!C22</f>
        <v>3</v>
      </c>
      <c r="E12" s="5">
        <v>2</v>
      </c>
      <c r="F12" s="33" t="s">
        <v>218</v>
      </c>
    </row>
    <row r="13" ht="20" customHeight="1" spans="2:9">
      <c r="B13" s="33" t="s">
        <v>219</v>
      </c>
      <c r="C13" s="5">
        <v>3</v>
      </c>
      <c r="D13" s="5">
        <f>Assumptions!C23</f>
        <v>2</v>
      </c>
      <c r="E13" s="5">
        <v>1</v>
      </c>
      <c r="F13" s="33" t="s">
        <v>220</v>
      </c>
    </row>
    <row r="14" ht="20" customHeight="1" spans="2:9">
      <c r="B14" s="33" t="s">
        <v>94</v>
      </c>
      <c r="C14" s="6">
        <v>0.15</v>
      </c>
      <c r="D14" s="6">
        <f>Assumptions!C25</f>
        <v>0.1</v>
      </c>
      <c r="E14" s="6">
        <v>0.05</v>
      </c>
      <c r="F14" s="33" t="s">
        <v>221</v>
      </c>
    </row>
    <row r="15" ht="20" customHeight="1" spans="2:9">
      <c r="B15" s="33" t="s">
        <v>172</v>
      </c>
      <c r="C15" s="6">
        <v>0.3</v>
      </c>
      <c r="D15" s="6">
        <f>Assumptions!C18</f>
        <v>0.5</v>
      </c>
      <c r="E15" s="6">
        <v>0.7</v>
      </c>
      <c r="F15" s="33" t="s">
        <v>222</v>
      </c>
    </row>
    <row r="16" ht="24" customHeight="1" spans="2:9">
      <c r="B16" s="8" t="s">
        <v>223</v>
      </c>
      <c r="C16" s="9"/>
      <c r="D16" s="9"/>
      <c r="E16" s="9"/>
      <c r="F16" s="9"/>
      <c r="G16" s="32"/>
      <c r="H16" s="32"/>
      <c r="I16" s="32"/>
    </row>
    <row r="17" ht="20" customHeight="1" spans="2:9">
      <c r="B17" s="33" t="s">
        <v>224</v>
      </c>
      <c r="C17" s="34">
        <f>ROUNDUP(Assumptions!$C$6/(C7*(1-C8)),0)</f>
        <v>57</v>
      </c>
      <c r="D17" s="34">
        <f>ROUNDUP(Assumptions!$C$6/(D7*(1-D8)),0)</f>
        <v>29</v>
      </c>
      <c r="E17" s="34">
        <f>ROUNDUP(Assumptions!$C$6/(E7*(1-E8)),0)</f>
        <v>20</v>
      </c>
      <c r="F17" s="33" t="s">
        <v>225</v>
      </c>
    </row>
    <row r="18" ht="20" customHeight="1" spans="2:9">
      <c r="B18" s="33" t="s">
        <v>226</v>
      </c>
      <c r="C18" s="34">
        <f>ROUNDUP(C17*Assumptions!$C$13,0)</f>
        <v>608</v>
      </c>
      <c r="D18" s="34">
        <f>ROUNDUP(D17*Assumptions!$C$13,0)</f>
        <v>310</v>
      </c>
      <c r="E18" s="34">
        <f>ROUNDUP(E17*Assumptions!$C$13,0)</f>
        <v>214</v>
      </c>
      <c r="F18" s="33" t="s">
        <v>227</v>
      </c>
    </row>
    <row r="19" ht="20" customHeight="1" spans="2:9">
      <c r="B19" s="33" t="s">
        <v>13</v>
      </c>
      <c r="C19" s="35">
        <f>(((C17*C12)+(Assumptions!$C$6*C9/60)+(ROUND(Assumptions!$C$6*C10,0)*C11)+(C17*C13)+(Assumptions!$C$24*60))*(1+C14))/60</f>
        <v>97.29</v>
      </c>
      <c r="D19" s="35">
        <f>(((D17*D12)+(Assumptions!$C$6*D9/60)+(ROUND(Assumptions!$C$6*D10,0)*D11)+(D17*D13)+(Assumptions!$C$24*60))*(1+D14))/60</f>
        <v>50.2883333333333</v>
      </c>
      <c r="E19" s="35">
        <f>(((E17*E12)+(Assumptions!$C$6*E9/60)+(ROUND(Assumptions!$C$6*E10,0)*E11)+(E17*E13)+(Assumptions!$C$24*60))*(1+E14))/60</f>
        <v>21.2333333333333</v>
      </c>
      <c r="F19" s="33" t="s">
        <v>228</v>
      </c>
    </row>
    <row r="20" ht="20" customHeight="1" spans="2:9">
      <c r="B20" s="33" t="s">
        <v>229</v>
      </c>
      <c r="C20" s="7">
        <f>C18*Assumptions!$C$27/1000</f>
        <v>21.28</v>
      </c>
      <c r="D20" s="7">
        <f>D18*Assumptions!$C$27/1000</f>
        <v>10.85</v>
      </c>
      <c r="E20" s="7">
        <f>E18*Assumptions!$C$27/1000</f>
        <v>7.49</v>
      </c>
      <c r="F20" s="33" t="s">
        <v>230</v>
      </c>
    </row>
    <row r="21" ht="20" customHeight="1" spans="2:9">
      <c r="B21" s="36" t="s">
        <v>231</v>
      </c>
      <c r="C21" s="37">
        <f>C19*Assumptions!$C$10+C20</f>
        <v>3329.14</v>
      </c>
      <c r="D21" s="37">
        <f>D19*Assumptions!$C$10+D20</f>
        <v>1720.65333333333</v>
      </c>
      <c r="E21" s="37">
        <f>E19*Assumptions!$C$10+E20</f>
        <v>729.423333333334</v>
      </c>
      <c r="F21" s="36" t="s">
        <v>232</v>
      </c>
    </row>
    <row r="22" ht="20" customHeight="1" spans="2:9">
      <c r="B22" s="33" t="s">
        <v>116</v>
      </c>
      <c r="C22" s="38">
        <f>C21/Assumptions!$C$6</f>
        <v>1.331656</v>
      </c>
      <c r="D22" s="38">
        <f>D21/Assumptions!$C$6</f>
        <v>0.688261333333333</v>
      </c>
      <c r="E22" s="38">
        <f>E21/Assumptions!$C$6</f>
        <v>0.291769333333333</v>
      </c>
      <c r="F22" s="33" t="s">
        <v>233</v>
      </c>
    </row>
    <row r="23" ht="20" customHeight="1" spans="2:9">
      <c r="B23" s="33" t="s">
        <v>19</v>
      </c>
      <c r="C23" s="24">
        <f>ROUND(Assumptions!$C$6*Assumptions!$C$14,0)+ROUND(ROUND(Assumptions!$C$6*C10,0)*C15,0)</f>
        <v>1617</v>
      </c>
      <c r="D23" s="24">
        <f>ROUND(Assumptions!$C$6*Assumptions!$C$14,0)+ROUND(ROUND(Assumptions!$C$6*D10,0)*D15,0)</f>
        <v>1774</v>
      </c>
      <c r="E23" s="24">
        <f>ROUND(Assumptions!$C$6*Assumptions!$C$14,0)+ROUND(ROUND(Assumptions!$C$6*E10,0)*E15,0)</f>
        <v>1607</v>
      </c>
      <c r="F23" s="33" t="s">
        <v>234</v>
      </c>
    </row>
    <row r="24" ht="20" customHeight="1" spans="2:9">
      <c r="B24" s="33" t="s">
        <v>118</v>
      </c>
      <c r="C24" s="7">
        <f>C21/C23</f>
        <v>2.05883735312307</v>
      </c>
      <c r="D24" s="7">
        <f>D21/D23</f>
        <v>0.969928598271326</v>
      </c>
      <c r="E24" s="7">
        <f>E21/E23</f>
        <v>0.453903754407799</v>
      </c>
      <c r="F24" s="33" t="s">
        <v>235</v>
      </c>
    </row>
    <row r="25" ht="20" customHeight="1" spans="2:9">
      <c r="B25" s="39" t="s">
        <v>120</v>
      </c>
      <c r="C25" s="40">
        <f>'Funnel &amp; cost'!$C$36-C21</f>
        <v>3045.86</v>
      </c>
      <c r="D25" s="40">
        <f>'Funnel &amp; cost'!$C$36-D21</f>
        <v>4654.34666666667</v>
      </c>
      <c r="E25" s="40">
        <f>'Funnel &amp; cost'!$C$36-E21</f>
        <v>5645.57666666667</v>
      </c>
      <c r="F25" s="39" t="s">
        <v>236</v>
      </c>
    </row>
    <row r="26" ht="15.25" customHeight="1"/>
    <row r="27" ht="24" customHeight="1" spans="2:9">
      <c r="B27" s="41" t="s">
        <v>237</v>
      </c>
      <c r="C27" s="9"/>
      <c r="D27" s="9"/>
      <c r="E27" s="9"/>
      <c r="F27" s="9"/>
      <c r="G27" s="9"/>
      <c r="H27" s="9"/>
      <c r="I27" s="9"/>
    </row>
    <row r="28" ht="28" customHeight="1" spans="2:9">
      <c r="B28" s="3" t="s">
        <v>238</v>
      </c>
      <c r="C28" s="3">
        <v>49</v>
      </c>
      <c r="D28" s="3">
        <v>75</v>
      </c>
      <c r="E28" s="3">
        <v>93</v>
      </c>
      <c r="F28" s="3">
        <v>131</v>
      </c>
    </row>
    <row r="29" ht="20" customHeight="1" spans="2:9">
      <c r="B29" s="4">
        <v>15</v>
      </c>
      <c r="C29" s="38">
        <f>((((ROUNDUP(Assumptions!$C$6/(C$28*(1-Assumptions!$C$17)),0)*Assumptions!$C$22)+(Assumptions!$C$6*$B29/60)+(Assumptions!$C$6*Assumptions!$C$15*Assumptions!$C$21)+(ROUNDUP(Assumptions!$C$6/(C$28*(1-Assumptions!$C$17)),0)*Assumptions!$C$23)+(Assumptions!$C$24*60))*(1+Assumptions!$C$25))/60*Assumptions!$C$10+ROUNDUP(Assumptions!$C$6/(C$28*(1-Assumptions!$C$17)),0)*Assumptions!$C$13*Assumptions!$C$27/1000)/Assumptions!$C$6</f>
        <v>0.567430436781609</v>
      </c>
      <c r="D29" s="38">
        <f>((((ROUNDUP(Assumptions!$C$6/(D$28*(1-Assumptions!$C$17)),0)*Assumptions!$C$22)+(Assumptions!$C$6*$B29/60)+(Assumptions!$C$6*Assumptions!$C$15*Assumptions!$C$21)+(ROUNDUP(Assumptions!$C$6/(D$28*(1-Assumptions!$C$17)),0)*Assumptions!$C$23)+(Assumptions!$C$24*60))*(1+Assumptions!$C$25))/60*Assumptions!$C$10+ROUNDUP(Assumptions!$C$6/(D$28*(1-Assumptions!$C$17)),0)*Assumptions!$C$13*Assumptions!$C$27/1000)/Assumptions!$C$6</f>
        <v>0.542302436781609</v>
      </c>
      <c r="E29" s="38">
        <f>((((ROUNDUP(Assumptions!$C$6/(E$28*(1-Assumptions!$C$17)),0)*Assumptions!$C$22)+(Assumptions!$C$6*$B29/60)+(Assumptions!$C$6*Assumptions!$C$15*Assumptions!$C$21)+(ROUNDUP(Assumptions!$C$6/(E$28*(1-Assumptions!$C$17)),0)*Assumptions!$C$23)+(Assumptions!$C$24*60))*(1+Assumptions!$C$25))/60*Assumptions!$C$10+ROUNDUP(Assumptions!$C$6/(E$28*(1-Assumptions!$C$17)),0)*Assumptions!$C$13*Assumptions!$C$27/1000)/Assumptions!$C$6</f>
        <v>0.532530436781609</v>
      </c>
      <c r="F29" s="38">
        <f>((((ROUNDUP(Assumptions!$C$6/(F$28*(1-Assumptions!$C$17)),0)*Assumptions!$C$22)+(Assumptions!$C$6*$B29/60)+(Assumptions!$C$6*Assumptions!$C$15*Assumptions!$C$21)+(ROUNDUP(Assumptions!$C$6/(F$28*(1-Assumptions!$C$17)),0)*Assumptions!$C$23)+(Assumptions!$C$24*60))*(1+Assumptions!$C$25))/60*Assumptions!$C$10+ROUNDUP(Assumptions!$C$6/(F$28*(1-Assumptions!$C$17)),0)*Assumptions!$C$13*Assumptions!$C$27/1000)/Assumptions!$C$6</f>
        <v>0.521362436781609</v>
      </c>
    </row>
    <row r="30" ht="20" customHeight="1" spans="2:9">
      <c r="B30" s="4">
        <v>30</v>
      </c>
      <c r="C30" s="38">
        <f>((((ROUNDUP(Assumptions!$C$6/(C$28*(1-Assumptions!$C$17)),0)*Assumptions!$C$22)+(Assumptions!$C$6*$B30/60)+(Assumptions!$C$6*Assumptions!$C$15*Assumptions!$C$21)+(ROUNDUP(Assumptions!$C$6/(C$28*(1-Assumptions!$C$17)),0)*Assumptions!$C$23)+(Assumptions!$C$24*60))*(1+Assumptions!$C$25))/60*Assumptions!$C$10+ROUNDUP(Assumptions!$C$6/(C$28*(1-Assumptions!$C$17)),0)*Assumptions!$C$13*Assumptions!$C$27/1000)/Assumptions!$C$6</f>
        <v>0.723263770114943</v>
      </c>
      <c r="D30" s="38">
        <f>((((ROUNDUP(Assumptions!$C$6/(D$28*(1-Assumptions!$C$17)),0)*Assumptions!$C$22)+(Assumptions!$C$6*$B30/60)+(Assumptions!$C$6*Assumptions!$C$15*Assumptions!$C$21)+(ROUNDUP(Assumptions!$C$6/(D$28*(1-Assumptions!$C$17)),0)*Assumptions!$C$23)+(Assumptions!$C$24*60))*(1+Assumptions!$C$25))/60*Assumptions!$C$10+ROUNDUP(Assumptions!$C$6/(D$28*(1-Assumptions!$C$17)),0)*Assumptions!$C$13*Assumptions!$C$27/1000)/Assumptions!$C$6</f>
        <v>0.698135770114943</v>
      </c>
      <c r="E30" s="38">
        <f>((((ROUNDUP(Assumptions!$C$6/(E$28*(1-Assumptions!$C$17)),0)*Assumptions!$C$22)+(Assumptions!$C$6*$B30/60)+(Assumptions!$C$6*Assumptions!$C$15*Assumptions!$C$21)+(ROUNDUP(Assumptions!$C$6/(E$28*(1-Assumptions!$C$17)),0)*Assumptions!$C$23)+(Assumptions!$C$24*60))*(1+Assumptions!$C$25))/60*Assumptions!$C$10+ROUNDUP(Assumptions!$C$6/(E$28*(1-Assumptions!$C$17)),0)*Assumptions!$C$13*Assumptions!$C$27/1000)/Assumptions!$C$6</f>
        <v>0.688363770114942</v>
      </c>
      <c r="F30" s="38">
        <f>((((ROUNDUP(Assumptions!$C$6/(F$28*(1-Assumptions!$C$17)),0)*Assumptions!$C$22)+(Assumptions!$C$6*$B30/60)+(Assumptions!$C$6*Assumptions!$C$15*Assumptions!$C$21)+(ROUNDUP(Assumptions!$C$6/(F$28*(1-Assumptions!$C$17)),0)*Assumptions!$C$23)+(Assumptions!$C$24*60))*(1+Assumptions!$C$25))/60*Assumptions!$C$10+ROUNDUP(Assumptions!$C$6/(F$28*(1-Assumptions!$C$17)),0)*Assumptions!$C$13*Assumptions!$C$27/1000)/Assumptions!$C$6</f>
        <v>0.677195770114943</v>
      </c>
    </row>
    <row r="31" ht="20" customHeight="1" spans="2:9">
      <c r="B31" s="4">
        <v>45</v>
      </c>
      <c r="C31" s="38">
        <f>((((ROUNDUP(Assumptions!$C$6/(C$28*(1-Assumptions!$C$17)),0)*Assumptions!$C$22)+(Assumptions!$C$6*$B31/60)+(Assumptions!$C$6*Assumptions!$C$15*Assumptions!$C$21)+(ROUNDUP(Assumptions!$C$6/(C$28*(1-Assumptions!$C$17)),0)*Assumptions!$C$23)+(Assumptions!$C$24*60))*(1+Assumptions!$C$25))/60*Assumptions!$C$10+ROUNDUP(Assumptions!$C$6/(C$28*(1-Assumptions!$C$17)),0)*Assumptions!$C$13*Assumptions!$C$27/1000)/Assumptions!$C$6</f>
        <v>0.879097103448276</v>
      </c>
      <c r="D31" s="38">
        <f>((((ROUNDUP(Assumptions!$C$6/(D$28*(1-Assumptions!$C$17)),0)*Assumptions!$C$22)+(Assumptions!$C$6*$B31/60)+(Assumptions!$C$6*Assumptions!$C$15*Assumptions!$C$21)+(ROUNDUP(Assumptions!$C$6/(D$28*(1-Assumptions!$C$17)),0)*Assumptions!$C$23)+(Assumptions!$C$24*60))*(1+Assumptions!$C$25))/60*Assumptions!$C$10+ROUNDUP(Assumptions!$C$6/(D$28*(1-Assumptions!$C$17)),0)*Assumptions!$C$13*Assumptions!$C$27/1000)/Assumptions!$C$6</f>
        <v>0.853969103448276</v>
      </c>
      <c r="E31" s="38">
        <f>((((ROUNDUP(Assumptions!$C$6/(E$28*(1-Assumptions!$C$17)),0)*Assumptions!$C$22)+(Assumptions!$C$6*$B31/60)+(Assumptions!$C$6*Assumptions!$C$15*Assumptions!$C$21)+(ROUNDUP(Assumptions!$C$6/(E$28*(1-Assumptions!$C$17)),0)*Assumptions!$C$23)+(Assumptions!$C$24*60))*(1+Assumptions!$C$25))/60*Assumptions!$C$10+ROUNDUP(Assumptions!$C$6/(E$28*(1-Assumptions!$C$17)),0)*Assumptions!$C$13*Assumptions!$C$27/1000)/Assumptions!$C$6</f>
        <v>0.844197103448276</v>
      </c>
      <c r="F31" s="38">
        <f>((((ROUNDUP(Assumptions!$C$6/(F$28*(1-Assumptions!$C$17)),0)*Assumptions!$C$22)+(Assumptions!$C$6*$B31/60)+(Assumptions!$C$6*Assumptions!$C$15*Assumptions!$C$21)+(ROUNDUP(Assumptions!$C$6/(F$28*(1-Assumptions!$C$17)),0)*Assumptions!$C$23)+(Assumptions!$C$24*60))*(1+Assumptions!$C$25))/60*Assumptions!$C$10+ROUNDUP(Assumptions!$C$6/(F$28*(1-Assumptions!$C$17)),0)*Assumptions!$C$13*Assumptions!$C$27/1000)/Assumptions!$C$6</f>
        <v>0.833029103448276</v>
      </c>
    </row>
    <row r="32" ht="20" customHeight="1" spans="2:9">
      <c r="B32" s="4">
        <v>60</v>
      </c>
      <c r="C32" s="38">
        <f>((((ROUNDUP(Assumptions!$C$6/(C$28*(1-Assumptions!$C$17)),0)*Assumptions!$C$22)+(Assumptions!$C$6*$B32/60)+(Assumptions!$C$6*Assumptions!$C$15*Assumptions!$C$21)+(ROUNDUP(Assumptions!$C$6/(C$28*(1-Assumptions!$C$17)),0)*Assumptions!$C$23)+(Assumptions!$C$24*60))*(1+Assumptions!$C$25))/60*Assumptions!$C$10+ROUNDUP(Assumptions!$C$6/(C$28*(1-Assumptions!$C$17)),0)*Assumptions!$C$13*Assumptions!$C$27/1000)/Assumptions!$C$6</f>
        <v>1.03493043678161</v>
      </c>
      <c r="D32" s="38">
        <f>((((ROUNDUP(Assumptions!$C$6/(D$28*(1-Assumptions!$C$17)),0)*Assumptions!$C$22)+(Assumptions!$C$6*$B32/60)+(Assumptions!$C$6*Assumptions!$C$15*Assumptions!$C$21)+(ROUNDUP(Assumptions!$C$6/(D$28*(1-Assumptions!$C$17)),0)*Assumptions!$C$23)+(Assumptions!$C$24*60))*(1+Assumptions!$C$25))/60*Assumptions!$C$10+ROUNDUP(Assumptions!$C$6/(D$28*(1-Assumptions!$C$17)),0)*Assumptions!$C$13*Assumptions!$C$27/1000)/Assumptions!$C$6</f>
        <v>1.00980243678161</v>
      </c>
      <c r="E32" s="38">
        <f>((((ROUNDUP(Assumptions!$C$6/(E$28*(1-Assumptions!$C$17)),0)*Assumptions!$C$22)+(Assumptions!$C$6*$B32/60)+(Assumptions!$C$6*Assumptions!$C$15*Assumptions!$C$21)+(ROUNDUP(Assumptions!$C$6/(E$28*(1-Assumptions!$C$17)),0)*Assumptions!$C$23)+(Assumptions!$C$24*60))*(1+Assumptions!$C$25))/60*Assumptions!$C$10+ROUNDUP(Assumptions!$C$6/(E$28*(1-Assumptions!$C$17)),0)*Assumptions!$C$13*Assumptions!$C$27/1000)/Assumptions!$C$6</f>
        <v>1.00003043678161</v>
      </c>
      <c r="F32" s="38">
        <f>((((ROUNDUP(Assumptions!$C$6/(F$28*(1-Assumptions!$C$17)),0)*Assumptions!$C$22)+(Assumptions!$C$6*$B32/60)+(Assumptions!$C$6*Assumptions!$C$15*Assumptions!$C$21)+(ROUNDUP(Assumptions!$C$6/(F$28*(1-Assumptions!$C$17)),0)*Assumptions!$C$23)+(Assumptions!$C$24*60))*(1+Assumptions!$C$25))/60*Assumptions!$C$10+ROUNDUP(Assumptions!$C$6/(F$28*(1-Assumptions!$C$17)),0)*Assumptions!$C$13*Assumptions!$C$27/1000)/Assumptions!$C$6</f>
        <v>0.988862436781609</v>
      </c>
    </row>
    <row r="33" ht="20" customHeight="1" spans="2:6">
      <c r="B33" s="4">
        <v>90</v>
      </c>
      <c r="C33" s="38">
        <f>((((ROUNDUP(Assumptions!$C$6/(C$28*(1-Assumptions!$C$17)),0)*Assumptions!$C$22)+(Assumptions!$C$6*$B33/60)+(Assumptions!$C$6*Assumptions!$C$15*Assumptions!$C$21)+(ROUNDUP(Assumptions!$C$6/(C$28*(1-Assumptions!$C$17)),0)*Assumptions!$C$23)+(Assumptions!$C$24*60))*(1+Assumptions!$C$25))/60*Assumptions!$C$10+ROUNDUP(Assumptions!$C$6/(C$28*(1-Assumptions!$C$17)),0)*Assumptions!$C$13*Assumptions!$C$27/1000)/Assumptions!$C$6</f>
        <v>1.34659710344828</v>
      </c>
      <c r="D33" s="38">
        <f>((((ROUNDUP(Assumptions!$C$6/(D$28*(1-Assumptions!$C$17)),0)*Assumptions!$C$22)+(Assumptions!$C$6*$B33/60)+(Assumptions!$C$6*Assumptions!$C$15*Assumptions!$C$21)+(ROUNDUP(Assumptions!$C$6/(D$28*(1-Assumptions!$C$17)),0)*Assumptions!$C$23)+(Assumptions!$C$24*60))*(1+Assumptions!$C$25))/60*Assumptions!$C$10+ROUNDUP(Assumptions!$C$6/(D$28*(1-Assumptions!$C$17)),0)*Assumptions!$C$13*Assumptions!$C$27/1000)/Assumptions!$C$6</f>
        <v>1.32146910344828</v>
      </c>
      <c r="E33" s="38">
        <f>((((ROUNDUP(Assumptions!$C$6/(E$28*(1-Assumptions!$C$17)),0)*Assumptions!$C$22)+(Assumptions!$C$6*$B33/60)+(Assumptions!$C$6*Assumptions!$C$15*Assumptions!$C$21)+(ROUNDUP(Assumptions!$C$6/(E$28*(1-Assumptions!$C$17)),0)*Assumptions!$C$23)+(Assumptions!$C$24*60))*(1+Assumptions!$C$25))/60*Assumptions!$C$10+ROUNDUP(Assumptions!$C$6/(E$28*(1-Assumptions!$C$17)),0)*Assumptions!$C$13*Assumptions!$C$27/1000)/Assumptions!$C$6</f>
        <v>1.31169710344828</v>
      </c>
      <c r="F33" s="38">
        <f>((((ROUNDUP(Assumptions!$C$6/(F$28*(1-Assumptions!$C$17)),0)*Assumptions!$C$22)+(Assumptions!$C$6*$B33/60)+(Assumptions!$C$6*Assumptions!$C$15*Assumptions!$C$21)+(ROUNDUP(Assumptions!$C$6/(F$28*(1-Assumptions!$C$17)),0)*Assumptions!$C$23)+(Assumptions!$C$24*60))*(1+Assumptions!$C$25))/60*Assumptions!$C$10+ROUNDUP(Assumptions!$C$6/(F$28*(1-Assumptions!$C$17)),0)*Assumptions!$C$13*Assumptions!$C$27/1000)/Assumptions!$C$6</f>
        <v>1.30052910344828</v>
      </c>
    </row>
    <row r="35" ht="40" customHeight="1" spans="2:6">
      <c r="B35" s="42" t="s">
        <v>239</v>
      </c>
      <c r="C35" s="43" t="s">
        <v>240</v>
      </c>
      <c r="D35" s="12"/>
      <c r="E35" s="12"/>
      <c r="F35" s="12"/>
    </row>
  </sheetData>
  <mergeCells count="6">
    <mergeCell ref="B2:I2"/>
    <mergeCell ref="B3:I3"/>
    <mergeCell ref="B6:F6"/>
    <mergeCell ref="B16:F16"/>
    <mergeCell ref="B27:I27"/>
    <mergeCell ref="C35:F35"/>
  </mergeCell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&amp;K5B6877Sensitivity&amp;C&amp;8 Yi Shao · ATM Prospecting Cost Model&amp;R&amp;8 &amp;K5B6877Page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5B548"/>
    <pageSetUpPr fitToPage="1"/>
  </sheetPr>
  <dimension ref="B1:G36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 outlineLevelCol="6"/>
  <cols>
    <col min="1" max="1" width="3.63636363636364" customWidth="1"/>
    <col min="2" max="2" width="40" customWidth="1"/>
    <col min="3" max="3" width="20" customWidth="1"/>
    <col min="4" max="4" width="18" customWidth="1"/>
    <col min="5" max="5" width="48" customWidth="1"/>
    <col min="6" max="6" width="31" customWidth="1"/>
    <col min="7" max="7" width="17" customWidth="1"/>
  </cols>
  <sheetData>
    <row r="1" ht="10" customHeight="1"/>
    <row r="2" ht="36" customHeight="1" spans="2:7">
      <c r="B2" s="1" t="s">
        <v>241</v>
      </c>
    </row>
    <row r="3" ht="34" customHeight="1" spans="2:7">
      <c r="B3" s="2" t="s">
        <v>242</v>
      </c>
    </row>
    <row r="5" ht="28" customHeight="1" spans="2:7">
      <c r="B5" s="3" t="s">
        <v>243</v>
      </c>
      <c r="C5" s="3" t="s">
        <v>125</v>
      </c>
      <c r="D5" s="3" t="s">
        <v>244</v>
      </c>
      <c r="E5" s="3" t="s">
        <v>245</v>
      </c>
      <c r="F5" s="3" t="s">
        <v>246</v>
      </c>
      <c r="G5" s="3" t="s">
        <v>247</v>
      </c>
    </row>
    <row r="6" ht="21" customHeight="1" spans="2:7">
      <c r="B6" s="4" t="s">
        <v>248</v>
      </c>
      <c r="C6" s="26" t="s">
        <v>53</v>
      </c>
      <c r="D6" s="5" t="s">
        <v>249</v>
      </c>
      <c r="E6" s="4" t="s">
        <v>250</v>
      </c>
      <c r="F6" s="5" t="s">
        <v>251</v>
      </c>
      <c r="G6" s="5" t="s">
        <v>53</v>
      </c>
    </row>
    <row r="7" ht="21" customHeight="1" spans="2:7">
      <c r="B7" s="4" t="s">
        <v>252</v>
      </c>
      <c r="C7" s="26" t="s">
        <v>53</v>
      </c>
      <c r="D7" s="5" t="s">
        <v>249</v>
      </c>
      <c r="E7" s="4" t="s">
        <v>253</v>
      </c>
      <c r="F7" s="5" t="s">
        <v>251</v>
      </c>
      <c r="G7" s="5" t="s">
        <v>53</v>
      </c>
    </row>
    <row r="8" ht="21" customHeight="1" spans="2:7">
      <c r="B8" s="4" t="s">
        <v>254</v>
      </c>
      <c r="C8" s="27" t="s">
        <v>53</v>
      </c>
      <c r="D8" s="5" t="s">
        <v>255</v>
      </c>
      <c r="E8" s="4" t="s">
        <v>256</v>
      </c>
      <c r="F8" s="5" t="s">
        <v>251</v>
      </c>
      <c r="G8" s="5" t="s">
        <v>53</v>
      </c>
    </row>
    <row r="9" ht="21" customHeight="1" spans="2:7">
      <c r="B9" s="4" t="s">
        <v>257</v>
      </c>
      <c r="C9" s="27" t="s">
        <v>53</v>
      </c>
      <c r="D9" s="5" t="s">
        <v>258</v>
      </c>
      <c r="E9" s="4" t="s">
        <v>259</v>
      </c>
      <c r="F9" s="5" t="s">
        <v>251</v>
      </c>
      <c r="G9" s="5" t="s">
        <v>53</v>
      </c>
    </row>
    <row r="10" ht="21" customHeight="1" spans="2:7">
      <c r="B10" s="4" t="s">
        <v>260</v>
      </c>
      <c r="C10" s="27" t="s">
        <v>53</v>
      </c>
      <c r="D10" s="5" t="s">
        <v>258</v>
      </c>
      <c r="E10" s="4" t="s">
        <v>261</v>
      </c>
      <c r="F10" s="5" t="s">
        <v>251</v>
      </c>
      <c r="G10" s="5" t="s">
        <v>53</v>
      </c>
    </row>
    <row r="11" ht="21" customHeight="1" spans="2:7">
      <c r="B11" s="4" t="s">
        <v>262</v>
      </c>
      <c r="C11" s="27" t="s">
        <v>53</v>
      </c>
      <c r="D11" s="5" t="s">
        <v>263</v>
      </c>
      <c r="E11" s="4" t="s">
        <v>264</v>
      </c>
      <c r="F11" s="5" t="s">
        <v>251</v>
      </c>
      <c r="G11" s="5" t="s">
        <v>53</v>
      </c>
    </row>
    <row r="12" ht="21" customHeight="1" spans="2:7">
      <c r="B12" s="4" t="s">
        <v>265</v>
      </c>
      <c r="C12" s="28" t="s">
        <v>53</v>
      </c>
      <c r="D12" s="5" t="s">
        <v>266</v>
      </c>
      <c r="E12" s="4" t="s">
        <v>267</v>
      </c>
      <c r="F12" s="5" t="s">
        <v>251</v>
      </c>
      <c r="G12" s="5" t="s">
        <v>53</v>
      </c>
    </row>
    <row r="13" ht="21" customHeight="1" spans="2:7">
      <c r="B13" s="4" t="s">
        <v>268</v>
      </c>
      <c r="C13" s="28" t="s">
        <v>53</v>
      </c>
      <c r="D13" s="5" t="s">
        <v>269</v>
      </c>
      <c r="E13" s="4" t="s">
        <v>270</v>
      </c>
      <c r="F13" s="5" t="s">
        <v>251</v>
      </c>
      <c r="G13" s="5" t="s">
        <v>53</v>
      </c>
    </row>
    <row r="14" ht="21" customHeight="1" spans="2:7">
      <c r="B14" s="4" t="s">
        <v>271</v>
      </c>
      <c r="C14" s="27" t="s">
        <v>53</v>
      </c>
      <c r="D14" s="5" t="s">
        <v>258</v>
      </c>
      <c r="E14" s="4" t="s">
        <v>272</v>
      </c>
      <c r="F14" s="5" t="s">
        <v>251</v>
      </c>
      <c r="G14" s="5" t="s">
        <v>53</v>
      </c>
    </row>
    <row r="15" ht="21" customHeight="1" spans="2:7">
      <c r="B15" s="4" t="s">
        <v>273</v>
      </c>
      <c r="C15" s="28" t="s">
        <v>53</v>
      </c>
      <c r="D15" s="5" t="s">
        <v>269</v>
      </c>
      <c r="E15" s="4" t="s">
        <v>274</v>
      </c>
      <c r="F15" s="5" t="s">
        <v>251</v>
      </c>
      <c r="G15" s="5" t="s">
        <v>53</v>
      </c>
    </row>
    <row r="16" ht="21" customHeight="1" spans="2:7">
      <c r="B16" s="4" t="s">
        <v>275</v>
      </c>
      <c r="C16" s="28" t="s">
        <v>53</v>
      </c>
      <c r="D16" s="5" t="s">
        <v>269</v>
      </c>
      <c r="E16" s="4" t="s">
        <v>276</v>
      </c>
      <c r="F16" s="5" t="s">
        <v>251</v>
      </c>
      <c r="G16" s="5" t="s">
        <v>53</v>
      </c>
    </row>
    <row r="17" ht="21" customHeight="1" spans="2:7">
      <c r="B17" s="4" t="s">
        <v>277</v>
      </c>
      <c r="C17" s="27" t="s">
        <v>53</v>
      </c>
      <c r="D17" s="5" t="s">
        <v>263</v>
      </c>
      <c r="E17" s="4" t="s">
        <v>278</v>
      </c>
      <c r="F17" s="5" t="s">
        <v>251</v>
      </c>
      <c r="G17" s="5" t="s">
        <v>53</v>
      </c>
    </row>
    <row r="18" ht="21" customHeight="1" spans="2:7">
      <c r="B18" s="4" t="s">
        <v>279</v>
      </c>
      <c r="C18" s="28" t="s">
        <v>53</v>
      </c>
      <c r="D18" s="5" t="s">
        <v>266</v>
      </c>
      <c r="E18" s="4" t="s">
        <v>267</v>
      </c>
      <c r="F18" s="5" t="s">
        <v>251</v>
      </c>
      <c r="G18" s="5" t="s">
        <v>53</v>
      </c>
    </row>
    <row r="19" ht="21" customHeight="1" spans="2:7">
      <c r="B19" s="4" t="s">
        <v>280</v>
      </c>
      <c r="C19" s="28" t="s">
        <v>53</v>
      </c>
      <c r="D19" s="5" t="s">
        <v>269</v>
      </c>
      <c r="E19" s="4" t="s">
        <v>281</v>
      </c>
      <c r="F19" s="5" t="s">
        <v>251</v>
      </c>
      <c r="G19" s="5" t="s">
        <v>53</v>
      </c>
    </row>
    <row r="20" ht="21" customHeight="1" spans="2:7">
      <c r="B20" s="4" t="s">
        <v>282</v>
      </c>
      <c r="C20" s="27" t="s">
        <v>53</v>
      </c>
      <c r="D20" s="5" t="s">
        <v>258</v>
      </c>
      <c r="E20" s="4" t="s">
        <v>283</v>
      </c>
      <c r="F20" s="5" t="s">
        <v>251</v>
      </c>
      <c r="G20" s="5" t="s">
        <v>53</v>
      </c>
    </row>
    <row r="21" ht="21" customHeight="1" spans="2:7">
      <c r="B21" s="4" t="s">
        <v>284</v>
      </c>
      <c r="C21" s="27" t="s">
        <v>53</v>
      </c>
      <c r="D21" s="5" t="s">
        <v>258</v>
      </c>
      <c r="E21" s="4" t="s">
        <v>285</v>
      </c>
      <c r="F21" s="5" t="s">
        <v>251</v>
      </c>
      <c r="G21" s="5" t="s">
        <v>53</v>
      </c>
    </row>
    <row r="22" ht="21" customHeight="1" spans="2:7">
      <c r="B22" s="4" t="s">
        <v>286</v>
      </c>
      <c r="C22" s="27" t="s">
        <v>53</v>
      </c>
      <c r="D22" s="5" t="s">
        <v>258</v>
      </c>
      <c r="E22" s="4" t="s">
        <v>287</v>
      </c>
      <c r="F22" s="5" t="s">
        <v>251</v>
      </c>
      <c r="G22" s="5" t="s">
        <v>53</v>
      </c>
    </row>
    <row r="23" ht="21" customHeight="1" spans="2:7">
      <c r="B23" s="4" t="s">
        <v>288</v>
      </c>
      <c r="C23" s="27" t="s">
        <v>53</v>
      </c>
      <c r="D23" s="5" t="s">
        <v>258</v>
      </c>
      <c r="E23" s="4" t="s">
        <v>289</v>
      </c>
      <c r="F23" s="5" t="s">
        <v>251</v>
      </c>
      <c r="G23" s="5" t="s">
        <v>53</v>
      </c>
    </row>
    <row r="24" ht="15.25" customHeight="1"/>
    <row r="25" ht="24" customHeight="1" spans="2:7">
      <c r="B25" s="8" t="s">
        <v>290</v>
      </c>
      <c r="C25" s="9"/>
      <c r="D25" s="9"/>
      <c r="E25" s="9"/>
      <c r="F25" s="9"/>
      <c r="G25" s="9"/>
    </row>
    <row r="26" ht="28" customHeight="1" spans="2:7">
      <c r="B26" s="3" t="s">
        <v>291</v>
      </c>
      <c r="C26" s="3" t="s">
        <v>292</v>
      </c>
      <c r="D26" s="3" t="s">
        <v>46</v>
      </c>
      <c r="E26" s="3" t="s">
        <v>293</v>
      </c>
      <c r="F26" s="3" t="s">
        <v>294</v>
      </c>
      <c r="G26" s="3" t="s">
        <v>295</v>
      </c>
    </row>
    <row r="27" ht="21" customHeight="1" spans="2:7">
      <c r="B27" s="4" t="s">
        <v>15</v>
      </c>
      <c r="C27" s="29" t="str">
        <f>IF(OR(C11="",C12="",C13=""),"",C11*C12+C13)</f>
        <v/>
      </c>
      <c r="D27" s="5" t="s">
        <v>296</v>
      </c>
      <c r="E27" s="4" t="s">
        <v>297</v>
      </c>
      <c r="F27" s="4" t="s">
        <v>298</v>
      </c>
      <c r="G27" s="30" t="str">
        <f t="shared" ref="G27:G36" si="0">IF(C27="","NEEDED","CALCULATED")</f>
        <v>NEEDED</v>
      </c>
    </row>
    <row r="28" ht="21" customHeight="1" spans="2:7">
      <c r="B28" s="4" t="s">
        <v>299</v>
      </c>
      <c r="C28" s="29" t="str">
        <f>IF(OR(C17="",C18=""),"",C17*C18)</f>
        <v/>
      </c>
      <c r="D28" s="5" t="s">
        <v>296</v>
      </c>
      <c r="E28" s="4" t="s">
        <v>300</v>
      </c>
      <c r="F28" s="4" t="s">
        <v>301</v>
      </c>
      <c r="G28" s="30" t="str">
        <f t="shared" si="0"/>
        <v>NEEDED</v>
      </c>
    </row>
    <row r="29" ht="26" customHeight="1" spans="2:7">
      <c r="B29" s="4" t="s">
        <v>302</v>
      </c>
      <c r="C29" s="29" t="str">
        <f>IF(OR(C27="",C15="",C16="",C28="",C19=""),"",C27+C15+C16+C28+C19)</f>
        <v/>
      </c>
      <c r="D29" s="5" t="s">
        <v>296</v>
      </c>
      <c r="E29" s="4" t="s">
        <v>303</v>
      </c>
      <c r="F29" s="4" t="s">
        <v>304</v>
      </c>
      <c r="G29" s="30" t="str">
        <f t="shared" si="0"/>
        <v>NEEDED</v>
      </c>
    </row>
    <row r="30" ht="21" customHeight="1" spans="2:7">
      <c r="B30" s="4" t="s">
        <v>305</v>
      </c>
      <c r="C30" s="31" t="str">
        <f>IFERROR(C20/C14,"")</f>
        <v/>
      </c>
      <c r="D30" s="5" t="s">
        <v>306</v>
      </c>
      <c r="E30" s="4" t="s">
        <v>307</v>
      </c>
      <c r="F30" s="4" t="s">
        <v>308</v>
      </c>
      <c r="G30" s="30" t="str">
        <f t="shared" si="0"/>
        <v>NEEDED</v>
      </c>
    </row>
    <row r="31" ht="21" customHeight="1" spans="2:7">
      <c r="B31" s="4" t="s">
        <v>309</v>
      </c>
      <c r="C31" s="31" t="str">
        <f>IFERROR(C20/C10,"")</f>
        <v/>
      </c>
      <c r="D31" s="5" t="s">
        <v>306</v>
      </c>
      <c r="E31" s="4" t="s">
        <v>310</v>
      </c>
      <c r="F31" s="4" t="s">
        <v>311</v>
      </c>
      <c r="G31" s="30" t="str">
        <f t="shared" si="0"/>
        <v>NEEDED</v>
      </c>
    </row>
    <row r="32" ht="21" customHeight="1" spans="2:7">
      <c r="B32" s="4" t="s">
        <v>312</v>
      </c>
      <c r="C32" s="31" t="str">
        <f>IFERROR(C22/C20,"")</f>
        <v/>
      </c>
      <c r="D32" s="5" t="s">
        <v>306</v>
      </c>
      <c r="E32" s="4" t="s">
        <v>313</v>
      </c>
      <c r="F32" s="4" t="s">
        <v>314</v>
      </c>
      <c r="G32" s="30" t="str">
        <f t="shared" si="0"/>
        <v>NEEDED</v>
      </c>
    </row>
    <row r="33" ht="21" customHeight="1" spans="2:7">
      <c r="B33" s="4" t="s">
        <v>315</v>
      </c>
      <c r="C33" s="29" t="str">
        <f>IFERROR((C15+C16)/C22,"")</f>
        <v/>
      </c>
      <c r="D33" s="5" t="s">
        <v>296</v>
      </c>
      <c r="E33" s="4" t="s">
        <v>316</v>
      </c>
      <c r="F33" s="4" t="s">
        <v>317</v>
      </c>
      <c r="G33" s="30" t="str">
        <f t="shared" si="0"/>
        <v>NEEDED</v>
      </c>
    </row>
    <row r="34" ht="21" customHeight="1" spans="2:7">
      <c r="B34" s="4" t="s">
        <v>318</v>
      </c>
      <c r="C34" s="29" t="str">
        <f>IFERROR(C29/C22,"")</f>
        <v/>
      </c>
      <c r="D34" s="5" t="s">
        <v>296</v>
      </c>
      <c r="E34" s="4" t="s">
        <v>319</v>
      </c>
      <c r="F34" s="4" t="s">
        <v>320</v>
      </c>
      <c r="G34" s="30" t="str">
        <f t="shared" si="0"/>
        <v>NEEDED</v>
      </c>
    </row>
    <row r="35" ht="21" customHeight="1" spans="2:7">
      <c r="B35" s="4" t="s">
        <v>321</v>
      </c>
      <c r="C35" s="29" t="str">
        <f>IFERROR(C29/C23,"")</f>
        <v/>
      </c>
      <c r="D35" s="5" t="s">
        <v>296</v>
      </c>
      <c r="E35" s="4" t="s">
        <v>322</v>
      </c>
      <c r="F35" s="4" t="s">
        <v>323</v>
      </c>
      <c r="G35" s="30" t="str">
        <f t="shared" si="0"/>
        <v>NEEDED</v>
      </c>
    </row>
    <row r="36" ht="21" customHeight="1" spans="2:7">
      <c r="B36" s="4" t="s">
        <v>324</v>
      </c>
      <c r="C36" s="31" t="str">
        <f>IFERROR(C23/C22,"")</f>
        <v/>
      </c>
      <c r="D36" s="5" t="s">
        <v>306</v>
      </c>
      <c r="E36" s="4" t="s">
        <v>325</v>
      </c>
      <c r="F36" s="4" t="s">
        <v>326</v>
      </c>
      <c r="G36" s="30" t="str">
        <f t="shared" si="0"/>
        <v>NEEDED</v>
      </c>
    </row>
  </sheetData>
  <mergeCells count="3">
    <mergeCell ref="B2:G2"/>
    <mergeCell ref="B3:G3"/>
    <mergeCell ref="B25:G25"/>
  </mergeCells>
  <dataValidations count="3">
    <dataValidation type="whole" operator="greaterThanOrEqual" allowBlank="1" showErrorMessage="1" error="Enter a whole number of records or sites." sqref="C14 C9:C10 C20:C23">
      <formula1>0</formula1>
    </dataValidation>
    <dataValidation type="date" operator="between" allowBlank="1" showInputMessage="1" showErrorMessage="1" errorTitle="Date required" error="Enter a valid campaign date." promptTitle="Campaign date" prompt="Enter the campaign start or measurement-close date." sqref="C6:C7">
      <formula1>DATE(2020,1,1)</formula1>
      <formula2>DATE(2035,12,31)</formula2>
    </dataValidation>
    <dataValidation type="decimal" operator="greaterThanOrEqual" allowBlank="1" showErrorMessage="1" error="Enter a value greater than or equal to zero." sqref="C11:C13 C15:C19">
      <formula1>0</formula1>
    </dataValidation>
  </dataValidation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&amp;K5B6877Outcome plan&amp;C&amp;8 Yi Shao · ATM Prospecting Cost Model&amp;R&amp;8 &amp;K5B6877Page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4568"/>
    <pageSetUpPr fitToPage="1"/>
  </sheetPr>
  <dimension ref="B1:I19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/>
  <cols>
    <col min="1" max="1" width="3.63636363636364" customWidth="1"/>
    <col min="2" max="2" width="27" customWidth="1"/>
    <col min="3" max="3" width="30" customWidth="1"/>
    <col min="4" max="4" width="13" customWidth="1"/>
    <col min="5" max="5" width="17" customWidth="1"/>
    <col min="6" max="6" width="20" customWidth="1"/>
    <col min="7" max="7" width="13" customWidth="1"/>
    <col min="8" max="8" width="43" customWidth="1"/>
    <col min="9" max="9" width="47" customWidth="1"/>
  </cols>
  <sheetData>
    <row r="1" ht="10" customHeight="1"/>
    <row r="2" ht="36" customHeight="1" spans="2:9">
      <c r="B2" s="1" t="s">
        <v>327</v>
      </c>
    </row>
    <row r="3" ht="34" customHeight="1" spans="2:9">
      <c r="B3" s="2" t="s">
        <v>328</v>
      </c>
    </row>
    <row r="5" ht="28" customHeight="1" spans="2:9">
      <c r="B5" s="3" t="s">
        <v>329</v>
      </c>
      <c r="C5" s="3" t="s">
        <v>11</v>
      </c>
      <c r="D5" s="3" t="s">
        <v>125</v>
      </c>
      <c r="E5" s="3" t="s">
        <v>46</v>
      </c>
      <c r="F5" s="3" t="s">
        <v>126</v>
      </c>
      <c r="G5" s="3" t="s">
        <v>330</v>
      </c>
      <c r="H5" s="3" t="s">
        <v>331</v>
      </c>
      <c r="I5" s="3" t="s">
        <v>332</v>
      </c>
    </row>
    <row r="6" ht="26" customHeight="1" spans="2:9">
      <c r="B6" s="4" t="s">
        <v>135</v>
      </c>
      <c r="C6" s="4" t="s">
        <v>132</v>
      </c>
      <c r="D6" s="5">
        <v>40</v>
      </c>
      <c r="E6" s="5" t="s">
        <v>133</v>
      </c>
      <c r="F6" s="5" t="s">
        <v>134</v>
      </c>
      <c r="G6" s="5" t="s">
        <v>333</v>
      </c>
      <c r="H6" s="5" t="s">
        <v>334</v>
      </c>
      <c r="I6" s="4" t="s">
        <v>335</v>
      </c>
    </row>
    <row r="7" ht="26" customHeight="1" spans="2:9">
      <c r="B7" s="4" t="s">
        <v>139</v>
      </c>
      <c r="C7" s="4" t="s">
        <v>336</v>
      </c>
      <c r="D7" s="5">
        <v>3</v>
      </c>
      <c r="E7" s="5" t="s">
        <v>138</v>
      </c>
      <c r="F7" s="5" t="s">
        <v>134</v>
      </c>
      <c r="G7" s="5" t="s">
        <v>333</v>
      </c>
      <c r="H7" s="5" t="s">
        <v>334</v>
      </c>
      <c r="I7" s="4" t="s">
        <v>337</v>
      </c>
    </row>
    <row r="8" ht="26" customHeight="1" spans="2:9">
      <c r="B8" s="4" t="s">
        <v>153</v>
      </c>
      <c r="C8" s="4" t="s">
        <v>150</v>
      </c>
      <c r="D8" s="18">
        <v>93.3809523809524</v>
      </c>
      <c r="E8" s="5" t="s">
        <v>151</v>
      </c>
      <c r="F8" s="5" t="s">
        <v>152</v>
      </c>
      <c r="G8" s="5" t="s">
        <v>338</v>
      </c>
      <c r="H8" s="22" t="s">
        <v>339</v>
      </c>
      <c r="I8" s="4" t="s">
        <v>340</v>
      </c>
    </row>
    <row r="9" ht="26" customHeight="1" spans="2:9">
      <c r="B9" s="4" t="s">
        <v>157</v>
      </c>
      <c r="C9" s="4" t="s">
        <v>155</v>
      </c>
      <c r="D9" s="18">
        <v>10.6666666666667</v>
      </c>
      <c r="E9" s="5" t="s">
        <v>156</v>
      </c>
      <c r="F9" s="5" t="s">
        <v>152</v>
      </c>
      <c r="G9" s="5" t="s">
        <v>338</v>
      </c>
      <c r="H9" s="22" t="s">
        <v>339</v>
      </c>
      <c r="I9" s="4" t="s">
        <v>341</v>
      </c>
    </row>
    <row r="10" ht="26" customHeight="1" spans="2:9">
      <c r="B10" s="4" t="s">
        <v>342</v>
      </c>
      <c r="C10" s="4" t="s">
        <v>70</v>
      </c>
      <c r="D10" s="5">
        <v>1089</v>
      </c>
      <c r="E10" s="5" t="s">
        <v>343</v>
      </c>
      <c r="F10" s="5" t="s">
        <v>344</v>
      </c>
      <c r="G10" s="5" t="s">
        <v>338</v>
      </c>
      <c r="H10" s="22" t="s">
        <v>339</v>
      </c>
      <c r="I10" s="4" t="s">
        <v>345</v>
      </c>
    </row>
    <row r="11" ht="26" customHeight="1" spans="2:9">
      <c r="B11" s="4" t="s">
        <v>346</v>
      </c>
      <c r="C11" s="4" t="s">
        <v>72</v>
      </c>
      <c r="D11" s="5">
        <v>456</v>
      </c>
      <c r="E11" s="5" t="s">
        <v>343</v>
      </c>
      <c r="F11" s="5" t="s">
        <v>344</v>
      </c>
      <c r="G11" s="5" t="s">
        <v>338</v>
      </c>
      <c r="H11" s="22" t="s">
        <v>339</v>
      </c>
      <c r="I11" s="4" t="s">
        <v>347</v>
      </c>
    </row>
    <row r="12" ht="26" customHeight="1" spans="2:9">
      <c r="B12" s="4" t="s">
        <v>348</v>
      </c>
      <c r="C12" s="4" t="s">
        <v>74</v>
      </c>
      <c r="D12" s="5">
        <v>311</v>
      </c>
      <c r="E12" s="5" t="s">
        <v>343</v>
      </c>
      <c r="F12" s="5" t="s">
        <v>344</v>
      </c>
      <c r="G12" s="5" t="s">
        <v>338</v>
      </c>
      <c r="H12" s="22" t="s">
        <v>339</v>
      </c>
      <c r="I12" s="4" t="s">
        <v>349</v>
      </c>
    </row>
    <row r="13" ht="26" customHeight="1" spans="2:9">
      <c r="B13" s="4" t="s">
        <v>350</v>
      </c>
      <c r="C13" s="4" t="s">
        <v>351</v>
      </c>
      <c r="D13" s="5">
        <v>1856</v>
      </c>
      <c r="E13" s="5" t="s">
        <v>343</v>
      </c>
      <c r="F13" s="5" t="s">
        <v>352</v>
      </c>
      <c r="G13" s="5" t="s">
        <v>338</v>
      </c>
      <c r="H13" s="22" t="s">
        <v>339</v>
      </c>
      <c r="I13" s="4" t="s">
        <v>353</v>
      </c>
    </row>
    <row r="14" ht="26" customHeight="1" spans="2:9">
      <c r="B14" s="4" t="s">
        <v>170</v>
      </c>
      <c r="C14" s="4" t="s">
        <v>354</v>
      </c>
      <c r="D14" s="6">
        <v>0.0535441101478837</v>
      </c>
      <c r="E14" s="5" t="s">
        <v>160</v>
      </c>
      <c r="F14" s="5" t="s">
        <v>152</v>
      </c>
      <c r="G14" s="5" t="s">
        <v>338</v>
      </c>
      <c r="H14" s="22" t="s">
        <v>339</v>
      </c>
      <c r="I14" s="4" t="s">
        <v>355</v>
      </c>
    </row>
    <row r="15" ht="26" customHeight="1" spans="2:9">
      <c r="B15" s="4" t="s">
        <v>192</v>
      </c>
      <c r="C15" s="4" t="s">
        <v>356</v>
      </c>
      <c r="D15" s="23">
        <v>35</v>
      </c>
      <c r="E15" s="5" t="s">
        <v>190</v>
      </c>
      <c r="F15" s="5" t="s">
        <v>191</v>
      </c>
      <c r="G15" s="5" t="s">
        <v>357</v>
      </c>
      <c r="H15" s="22" t="s">
        <v>358</v>
      </c>
      <c r="I15" s="4" t="s">
        <v>359</v>
      </c>
    </row>
    <row r="16" ht="22" customHeight="1" spans="2:9">
      <c r="B16" s="4" t="s">
        <v>197</v>
      </c>
      <c r="C16" s="4" t="s">
        <v>360</v>
      </c>
      <c r="D16" s="24">
        <v>1000</v>
      </c>
      <c r="E16" s="5" t="s">
        <v>195</v>
      </c>
      <c r="F16" s="5" t="s">
        <v>196</v>
      </c>
      <c r="G16" s="5" t="s">
        <v>357</v>
      </c>
      <c r="H16" s="22" t="s">
        <v>358</v>
      </c>
      <c r="I16" s="4" t="s">
        <v>361</v>
      </c>
    </row>
    <row r="17" ht="15.5" customHeight="1" spans="2:9">
      <c r="B17" s="4" t="s">
        <v>362</v>
      </c>
      <c r="C17" s="4" t="s">
        <v>363</v>
      </c>
      <c r="D17" s="24">
        <v>224</v>
      </c>
      <c r="E17" s="5" t="s">
        <v>364</v>
      </c>
      <c r="F17" s="5" t="s">
        <v>365</v>
      </c>
      <c r="G17" s="5" t="s">
        <v>338</v>
      </c>
      <c r="H17" s="25" t="s">
        <v>366</v>
      </c>
      <c r="I17" s="4" t="s">
        <v>367</v>
      </c>
    </row>
    <row r="18" ht="22" customHeight="1" spans="2:9">
      <c r="B18" s="4" t="s">
        <v>368</v>
      </c>
      <c r="C18" s="4" t="s">
        <v>369</v>
      </c>
      <c r="D18" s="24">
        <v>8</v>
      </c>
      <c r="E18" s="5" t="s">
        <v>108</v>
      </c>
      <c r="F18" s="5" t="s">
        <v>370</v>
      </c>
      <c r="G18" s="5" t="s">
        <v>338</v>
      </c>
      <c r="H18" s="25" t="s">
        <v>366</v>
      </c>
      <c r="I18" s="4" t="s">
        <v>371</v>
      </c>
    </row>
    <row r="19" ht="15.5" customHeight="1" spans="2:9">
      <c r="B19" s="4" t="s">
        <v>372</v>
      </c>
      <c r="C19" s="4" t="s">
        <v>373</v>
      </c>
      <c r="D19" s="24">
        <v>225</v>
      </c>
      <c r="E19" s="5" t="s">
        <v>374</v>
      </c>
      <c r="F19" s="5" t="s">
        <v>375</v>
      </c>
      <c r="G19" s="5" t="s">
        <v>338</v>
      </c>
      <c r="H19" s="22" t="s">
        <v>339</v>
      </c>
      <c r="I19" s="4" t="s">
        <v>376</v>
      </c>
    </row>
  </sheetData>
  <mergeCells count="2">
    <mergeCell ref="B2:I2"/>
    <mergeCell ref="B3:I3"/>
  </mergeCells>
  <hyperlinks>
    <hyperlink ref="H8" r:id="rId2" display="run-20260904-024050-et"/>
    <hyperlink ref="H9" r:id="rId2" display="run-20260904-024050-et"/>
    <hyperlink ref="H10" r:id="rId2" display="run-20260904-024050-et"/>
    <hyperlink ref="H11" r:id="rId2" display="run-20260904-024050-et"/>
    <hyperlink ref="H12" r:id="rId2" display="run-20260904-024050-et"/>
    <hyperlink ref="H13" r:id="rId2" display="run-20260904-024050-et"/>
    <hyperlink ref="H14" r:id="rId2" display="run-20260904-024050-et"/>
    <hyperlink ref="H15" r:id="rId3" display="Google Maps Platform pricing"/>
    <hyperlink ref="H16" r:id="rId3" display="Google Maps Platform pricing"/>
    <hyperlink ref="H19" r:id="rId2" display="run-20260904-024050-et"/>
  </hyperlink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&amp;K5B6877Source register&amp;C&amp;8 Yi Shao · ATM Prospecting Cost Model&amp;R&amp;8 &amp;K5B6877Page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4568"/>
    <pageSetUpPr fitToPage="1"/>
  </sheetPr>
  <dimension ref="B1:M43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/>
  <cols>
    <col min="1" max="1" width="3.63636363636364" customWidth="1"/>
    <col min="2" max="2" width="30" customWidth="1"/>
    <col min="3" max="3" width="24" customWidth="1"/>
    <col min="4" max="4" width="15" customWidth="1"/>
    <col min="5" max="5" width="18" customWidth="1"/>
    <col min="6" max="7" width="24" customWidth="1"/>
    <col min="8" max="13" width="14" customWidth="1"/>
  </cols>
  <sheetData>
    <row r="1" ht="10" customHeight="1"/>
    <row r="2" ht="36" customHeight="1" spans="2:13">
      <c r="B2" s="1" t="s">
        <v>377</v>
      </c>
    </row>
    <row r="3" ht="34" customHeight="1" spans="2:13">
      <c r="B3" s="2" t="s">
        <v>378</v>
      </c>
    </row>
    <row r="4" ht="15.25" customHeight="1"/>
    <row r="5" ht="24" customHeight="1" spans="2:13">
      <c r="B5" s="8" t="s">
        <v>379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28" customHeight="1" spans="2:13">
      <c r="B6" s="3" t="s">
        <v>380</v>
      </c>
      <c r="C6" s="3" t="s">
        <v>381</v>
      </c>
      <c r="D6" s="3" t="s">
        <v>382</v>
      </c>
      <c r="E6" s="3" t="s">
        <v>383</v>
      </c>
      <c r="F6" s="3" t="s">
        <v>384</v>
      </c>
      <c r="G6" s="3" t="s">
        <v>385</v>
      </c>
    </row>
    <row r="7" ht="20" customHeight="1" spans="2:13">
      <c r="B7" s="4" t="s">
        <v>386</v>
      </c>
      <c r="C7" s="5" t="s">
        <v>387</v>
      </c>
      <c r="D7" s="5">
        <f>COUNTIFS('Raw validation'!$B:$B,B7,'Raw validation'!$E:$E,C7)</f>
        <v>3</v>
      </c>
      <c r="E7" s="5">
        <f>SUMIFS('Raw validation'!$H:$H,'Raw validation'!$B:$B,B7,'Raw validation'!$E:$E,C7)</f>
        <v>218</v>
      </c>
      <c r="F7" s="5">
        <f>SUMIFS('Raw validation'!$I:$I,'Raw validation'!$B:$B,B7,'Raw validation'!$E:$E,C7)</f>
        <v>23</v>
      </c>
      <c r="G7" s="18">
        <f>IFERROR(E7/F7,"")</f>
        <v>9.47826086956522</v>
      </c>
    </row>
    <row r="8" ht="20" customHeight="1" spans="2:13">
      <c r="B8" s="4" t="s">
        <v>386</v>
      </c>
      <c r="C8" s="5" t="s">
        <v>388</v>
      </c>
      <c r="D8" s="5">
        <f>COUNTIFS('Raw validation'!$B:$B,B8,'Raw validation'!$E:$E,C8)</f>
        <v>3</v>
      </c>
      <c r="E8" s="5">
        <f>SUMIFS('Raw validation'!$H:$H,'Raw validation'!$B:$B,B8,'Raw validation'!$E:$E,C8)</f>
        <v>218</v>
      </c>
      <c r="F8" s="5">
        <f>SUMIFS('Raw validation'!$I:$I,'Raw validation'!$B:$B,B8,'Raw validation'!$E:$E,C8)</f>
        <v>0</v>
      </c>
      <c r="G8" s="18" t="str">
        <f>IFERROR(E8/F8,"")</f>
        <v/>
      </c>
    </row>
    <row r="9" ht="20" customHeight="1" spans="2:13">
      <c r="B9" s="4" t="s">
        <v>389</v>
      </c>
      <c r="C9" s="5" t="s">
        <v>387</v>
      </c>
      <c r="D9" s="5">
        <f>COUNTIFS('Raw validation'!$B:$B,B9,'Raw validation'!$E:$E,C9)</f>
        <v>1</v>
      </c>
      <c r="E9" s="5">
        <f>SUMIFS('Raw validation'!$H:$H,'Raw validation'!$B:$B,B9,'Raw validation'!$E:$E,C9)</f>
        <v>85</v>
      </c>
      <c r="F9" s="5">
        <f>SUMIFS('Raw validation'!$I:$I,'Raw validation'!$B:$B,B9,'Raw validation'!$E:$E,C9)</f>
        <v>10</v>
      </c>
      <c r="G9" s="18">
        <f>IFERROR(E9/F9,"")</f>
        <v>8.5</v>
      </c>
    </row>
    <row r="10" ht="20" customHeight="1" spans="2:13">
      <c r="B10" s="4" t="s">
        <v>389</v>
      </c>
      <c r="C10" s="5" t="s">
        <v>388</v>
      </c>
      <c r="D10" s="5">
        <f>COUNTIFS('Raw validation'!$B:$B,B10,'Raw validation'!$E:$E,C10)</f>
        <v>1</v>
      </c>
      <c r="E10" s="5">
        <f>SUMIFS('Raw validation'!$H:$H,'Raw validation'!$B:$B,B10,'Raw validation'!$E:$E,C10)</f>
        <v>85</v>
      </c>
      <c r="F10" s="5">
        <f>SUMIFS('Raw validation'!$I:$I,'Raw validation'!$B:$B,B10,'Raw validation'!$E:$E,C10)</f>
        <v>0</v>
      </c>
      <c r="G10" s="18" t="str">
        <f>IFERROR(E10/F10,"")</f>
        <v/>
      </c>
    </row>
    <row r="11" ht="15.25" customHeight="1" spans="2:13">
      <c r="B11" s="5"/>
      <c r="C11" s="5"/>
      <c r="D11" s="5"/>
      <c r="E11" s="5"/>
      <c r="F11" s="5"/>
      <c r="G11" s="5"/>
    </row>
    <row r="12" ht="24" customHeight="1" spans="2:13">
      <c r="B12" s="19" t="s">
        <v>390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ht="28" customHeight="1" spans="2:13">
      <c r="B13" s="21" t="s">
        <v>391</v>
      </c>
      <c r="C13" s="21" t="s">
        <v>392</v>
      </c>
      <c r="D13" s="21" t="s">
        <v>393</v>
      </c>
      <c r="E13" s="21" t="s">
        <v>394</v>
      </c>
      <c r="F13" s="21" t="s">
        <v>395</v>
      </c>
      <c r="G13" s="21" t="s">
        <v>396</v>
      </c>
    </row>
    <row r="14" ht="20" customHeight="1" spans="2:13">
      <c r="B14" s="4" t="s">
        <v>397</v>
      </c>
      <c r="C14" s="4" t="s">
        <v>398</v>
      </c>
      <c r="D14" s="5">
        <f>SUMIFS('Raw validation'!$H:$H,'Raw validation'!$C:$C,B14,'Raw validation'!$E:$E,"Cold")</f>
        <v>63</v>
      </c>
      <c r="E14" s="5">
        <f>SUMIFS('Raw validation'!$I:$I,'Raw validation'!$C:$C,B14,'Raw validation'!$E:$E,"Cold")</f>
        <v>7</v>
      </c>
      <c r="F14" s="18">
        <f>IFERROR(D14/E14,"")</f>
        <v>9</v>
      </c>
      <c r="G14" s="5" t="str">
        <f>IF(COUNTIFS('Raw validation'!$C:$C,B14,'Raw validation'!$E:$E,"Warm",'Raw validation'!$H:$H,D14)=1,"MATCH","CHECK")</f>
        <v>MATCH</v>
      </c>
    </row>
    <row r="15" ht="20" customHeight="1" spans="2:13">
      <c r="B15" s="4" t="s">
        <v>399</v>
      </c>
      <c r="C15" s="4" t="s">
        <v>400</v>
      </c>
      <c r="D15" s="5">
        <f>SUMIFS('Raw validation'!$H:$H,'Raw validation'!$C:$C,B15,'Raw validation'!$E:$E,"Cold")</f>
        <v>49</v>
      </c>
      <c r="E15" s="5">
        <f>SUMIFS('Raw validation'!$I:$I,'Raw validation'!$C:$C,B15,'Raw validation'!$E:$E,"Cold")</f>
        <v>7</v>
      </c>
      <c r="F15" s="18">
        <f>IFERROR(D15/E15,"")</f>
        <v>7</v>
      </c>
      <c r="G15" s="5" t="str">
        <f>IF(COUNTIFS('Raw validation'!$C:$C,B15,'Raw validation'!$E:$E,"Warm",'Raw validation'!$H:$H,D15)=1,"MATCH","CHECK")</f>
        <v>MATCH</v>
      </c>
    </row>
    <row r="16" ht="20" customHeight="1" spans="2:13">
      <c r="B16" s="4" t="s">
        <v>401</v>
      </c>
      <c r="C16" s="4" t="s">
        <v>402</v>
      </c>
      <c r="D16" s="5">
        <f>SUMIFS('Raw validation'!$H:$H,'Raw validation'!$C:$C,B16,'Raw validation'!$E:$E,"Cold")</f>
        <v>106</v>
      </c>
      <c r="E16" s="5">
        <f>SUMIFS('Raw validation'!$I:$I,'Raw validation'!$C:$C,B16,'Raw validation'!$E:$E,"Cold")</f>
        <v>9</v>
      </c>
      <c r="F16" s="18">
        <f>IFERROR(D16/E16,"")</f>
        <v>11.7777777777778</v>
      </c>
      <c r="G16" s="5" t="str">
        <f>IF(COUNTIFS('Raw validation'!$C:$C,B16,'Raw validation'!$E:$E,"Warm",'Raw validation'!$H:$H,D16)=1,"MATCH","CHECK")</f>
        <v>MATCH</v>
      </c>
    </row>
    <row r="17" ht="20" customHeight="1" spans="2:13">
      <c r="B17" s="4" t="s">
        <v>403</v>
      </c>
      <c r="C17" s="4" t="s">
        <v>404</v>
      </c>
      <c r="D17" s="5">
        <f>SUMIFS('Raw validation'!$H:$H,'Raw validation'!$C:$C,B17,'Raw validation'!$E:$E,"Cold")</f>
        <v>85</v>
      </c>
      <c r="E17" s="5">
        <f>SUMIFS('Raw validation'!$I:$I,'Raw validation'!$C:$C,B17,'Raw validation'!$E:$E,"Cold")</f>
        <v>10</v>
      </c>
      <c r="F17" s="18">
        <f>IFERROR(D17/E17,"")</f>
        <v>8.5</v>
      </c>
      <c r="G17" s="5" t="str">
        <f>IF(COUNTIFS('Raw validation'!$C:$C,B17,'Raw validation'!$E:$E,"Warm",'Raw validation'!$H:$H,D17)=1,"MATCH","CHECK")</f>
        <v>MATCH</v>
      </c>
    </row>
    <row r="18" ht="15.25" customHeight="1" spans="2:13">
      <c r="B18" s="5"/>
      <c r="C18" s="5"/>
      <c r="D18" s="5"/>
      <c r="E18" s="5"/>
      <c r="F18" s="5"/>
      <c r="G18" s="5"/>
    </row>
    <row r="19" ht="24" customHeight="1" spans="2:13">
      <c r="B19" s="19" t="s">
        <v>405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ht="28" customHeight="1" spans="2:13">
      <c r="B20" s="21" t="s">
        <v>406</v>
      </c>
      <c r="C20" s="21" t="s">
        <v>407</v>
      </c>
      <c r="D20" s="21" t="s">
        <v>408</v>
      </c>
      <c r="E20" s="21" t="s">
        <v>329</v>
      </c>
      <c r="F20" s="21" t="s">
        <v>409</v>
      </c>
      <c r="G20" s="5"/>
    </row>
    <row r="21" ht="24" customHeight="1" spans="2:13">
      <c r="B21" s="4" t="s">
        <v>410</v>
      </c>
      <c r="C21" s="5">
        <f>INDEX('Source register'!$D$6:$D$31,MATCH("val_ready_count",'Source register'!$B$6:$B$31,0))</f>
        <v>1089</v>
      </c>
      <c r="D21" s="6">
        <f>C21/$C$24</f>
        <v>0.586745689655172</v>
      </c>
      <c r="E21" s="5" t="s">
        <v>342</v>
      </c>
      <c r="F21" s="4" t="s">
        <v>345</v>
      </c>
      <c r="G21" s="5"/>
    </row>
    <row r="22" ht="24" customHeight="1" spans="2:13">
      <c r="B22" s="4" t="s">
        <v>72</v>
      </c>
      <c r="C22" s="5">
        <f>INDEX('Source register'!$D$6:$D$31,MATCH("val_verify_count",'Source register'!$B$6:$B$31,0))</f>
        <v>456</v>
      </c>
      <c r="D22" s="6">
        <f>C22/$C$24</f>
        <v>0.245689655172414</v>
      </c>
      <c r="E22" s="5" t="s">
        <v>346</v>
      </c>
      <c r="F22" s="4" t="s">
        <v>411</v>
      </c>
      <c r="G22" s="5"/>
    </row>
    <row r="23" ht="24" customHeight="1" spans="2:13">
      <c r="B23" s="4" t="s">
        <v>74</v>
      </c>
      <c r="C23" s="5">
        <f>INDEX('Source register'!$D$6:$D$31,MATCH("val_not_viable_count",'Source register'!$B$6:$B$31,0))</f>
        <v>311</v>
      </c>
      <c r="D23" s="6">
        <f>C23/$C$24</f>
        <v>0.167564655172414</v>
      </c>
      <c r="E23" s="5" t="s">
        <v>348</v>
      </c>
      <c r="F23" s="4" t="s">
        <v>349</v>
      </c>
      <c r="G23" s="5"/>
    </row>
    <row r="24" ht="24" customHeight="1" spans="2:13">
      <c r="B24" s="4" t="s">
        <v>412</v>
      </c>
      <c r="C24" s="5">
        <f>SUM(C21:C23)</f>
        <v>1856</v>
      </c>
      <c r="D24" s="6">
        <f>SUM(D21:D23)</f>
        <v>1</v>
      </c>
      <c r="E24" s="5" t="s">
        <v>350</v>
      </c>
      <c r="F24" s="4" t="str">
        <f>IF(C24=INDEX('Source register'!$D$6:$D$31,MATCH(E24,'Source register'!$B$6:$B$31,0)),"PASS","FAIL")</f>
        <v>PASS</v>
      </c>
      <c r="G24" s="5"/>
    </row>
    <row r="25" ht="15.25" customHeight="1" spans="2:13">
      <c r="B25" s="5"/>
      <c r="C25" s="5"/>
      <c r="D25" s="5"/>
      <c r="E25" s="5"/>
      <c r="F25" s="5"/>
      <c r="G25" s="5"/>
    </row>
    <row r="26" ht="24" customHeight="1" spans="2:13">
      <c r="B26" s="19" t="s">
        <v>413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28" customHeight="1" spans="2:13">
      <c r="B27" s="21" t="s">
        <v>414</v>
      </c>
      <c r="C27" s="21" t="s">
        <v>415</v>
      </c>
      <c r="D27" s="21" t="s">
        <v>393</v>
      </c>
      <c r="E27" s="21" t="s">
        <v>416</v>
      </c>
      <c r="F27" s="21" t="s">
        <v>417</v>
      </c>
      <c r="G27" s="5"/>
    </row>
    <row r="28" ht="20" customHeight="1" spans="2:13">
      <c r="B28" s="4" t="s">
        <v>418</v>
      </c>
      <c r="C28" s="5">
        <f>COUNTIFS('Raw validation'!$B:$B,"Spatial A/B",'Raw validation'!$E:$E,B28)</f>
        <v>3</v>
      </c>
      <c r="D28" s="5">
        <f>SUMIFS('Raw validation'!$H:$H,'Raw validation'!$B:$B,"Spatial A/B",'Raw validation'!$E:$E,B28)</f>
        <v>60</v>
      </c>
      <c r="E28" s="5">
        <f>SUMIFS('Raw validation'!$O:$O,'Raw validation'!$B:$B,"Spatial A/B",'Raw validation'!$E:$E,B28)</f>
        <v>31</v>
      </c>
      <c r="F28" s="6">
        <f>IFERROR(E28/D28,"")</f>
        <v>0.516666666666667</v>
      </c>
      <c r="G28" s="5"/>
    </row>
    <row r="29" ht="20" customHeight="1" spans="2:13">
      <c r="B29" s="4" t="s">
        <v>419</v>
      </c>
      <c r="C29" s="5">
        <f>COUNTIFS('Raw validation'!$B:$B,"Spatial A/B",'Raw validation'!$E:$E,B29)</f>
        <v>3</v>
      </c>
      <c r="D29" s="5">
        <f>SUMIFS('Raw validation'!$H:$H,'Raw validation'!$B:$B,"Spatial A/B",'Raw validation'!$E:$E,B29)</f>
        <v>26</v>
      </c>
      <c r="E29" s="5">
        <f>SUMIFS('Raw validation'!$O:$O,'Raw validation'!$B:$B,"Spatial A/B",'Raw validation'!$E:$E,B29)</f>
        <v>0</v>
      </c>
      <c r="F29" s="6">
        <f>IFERROR(E29/D29,"")</f>
        <v>0</v>
      </c>
      <c r="G29" s="5"/>
    </row>
    <row r="34" spans="2:13">
      <c r="B34" s="19" t="s">
        <v>420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2:13">
      <c r="B35" s="21" t="s">
        <v>11</v>
      </c>
      <c r="C35" s="21" t="s">
        <v>292</v>
      </c>
      <c r="D35" s="21" t="s">
        <v>46</v>
      </c>
      <c r="E35" s="21" t="s">
        <v>421</v>
      </c>
      <c r="F35" s="21" t="s">
        <v>422</v>
      </c>
      <c r="G35" s="20"/>
      <c r="H35" s="20"/>
      <c r="I35" s="20"/>
      <c r="J35" s="20"/>
      <c r="K35" s="20"/>
      <c r="L35" s="20"/>
      <c r="M35" s="20"/>
    </row>
    <row r="36" ht="28" customHeight="1" spans="2:13">
      <c r="B36" s="4" t="s">
        <v>423</v>
      </c>
      <c r="C36" s="5">
        <v>21</v>
      </c>
      <c r="D36" s="5" t="s">
        <v>424</v>
      </c>
      <c r="E36" s="5" t="s">
        <v>425</v>
      </c>
      <c r="F36" s="6" t="s">
        <v>426</v>
      </c>
      <c r="G36" s="20"/>
      <c r="H36" s="20"/>
      <c r="I36" s="20"/>
      <c r="J36" s="20"/>
      <c r="K36" s="20"/>
      <c r="L36" s="20"/>
      <c r="M36" s="20"/>
    </row>
    <row r="37" ht="28" customHeight="1" spans="2:13">
      <c r="B37" s="4" t="s">
        <v>427</v>
      </c>
      <c r="C37" s="5">
        <v>1856</v>
      </c>
      <c r="D37" s="5" t="s">
        <v>428</v>
      </c>
      <c r="E37" s="5" t="s">
        <v>429</v>
      </c>
      <c r="F37" s="6" t="s">
        <v>430</v>
      </c>
      <c r="G37" s="20"/>
      <c r="H37" s="20"/>
      <c r="I37" s="20"/>
      <c r="J37" s="20"/>
      <c r="K37" s="20"/>
      <c r="L37" s="20"/>
      <c r="M37" s="20"/>
    </row>
    <row r="38" ht="28" customHeight="1" spans="2:13">
      <c r="B38" s="4" t="s">
        <v>431</v>
      </c>
      <c r="C38" s="5">
        <v>224</v>
      </c>
      <c r="D38" s="5" t="s">
        <v>374</v>
      </c>
      <c r="E38" s="5" t="s">
        <v>432</v>
      </c>
      <c r="F38" s="6" t="s">
        <v>433</v>
      </c>
      <c r="G38" s="20"/>
      <c r="H38" s="20"/>
      <c r="I38" s="20"/>
      <c r="J38" s="20"/>
      <c r="K38" s="20"/>
      <c r="L38" s="20"/>
      <c r="M38" s="20"/>
    </row>
    <row r="39" ht="28" customHeight="1" spans="2:13">
      <c r="B39" s="4" t="s">
        <v>434</v>
      </c>
      <c r="C39" s="5">
        <v>412.3</v>
      </c>
      <c r="D39" s="5" t="s">
        <v>435</v>
      </c>
      <c r="E39" s="5" t="s">
        <v>436</v>
      </c>
      <c r="F39" s="6" t="s">
        <v>437</v>
      </c>
      <c r="G39" s="20"/>
      <c r="H39" s="20"/>
      <c r="I39" s="20"/>
      <c r="J39" s="20"/>
      <c r="K39" s="20"/>
      <c r="L39" s="20"/>
      <c r="M39" s="20"/>
    </row>
    <row r="40" ht="28" customHeight="1" spans="2:13">
      <c r="B40" s="4" t="s">
        <v>438</v>
      </c>
      <c r="C40" s="5">
        <v>8.29</v>
      </c>
      <c r="D40" s="5" t="s">
        <v>439</v>
      </c>
      <c r="E40" s="5" t="s">
        <v>440</v>
      </c>
      <c r="F40" s="6" t="s">
        <v>441</v>
      </c>
      <c r="G40" s="20"/>
      <c r="H40" s="20"/>
      <c r="I40" s="20"/>
      <c r="J40" s="20"/>
      <c r="K40" s="20"/>
      <c r="L40" s="20"/>
      <c r="M40" s="20"/>
    </row>
    <row r="41" ht="28" customHeight="1" spans="2:13">
      <c r="B41" s="4" t="s">
        <v>442</v>
      </c>
      <c r="C41" s="5" t="s">
        <v>443</v>
      </c>
      <c r="D41" s="5" t="s">
        <v>444</v>
      </c>
      <c r="E41" s="5" t="s">
        <v>445</v>
      </c>
      <c r="F41" s="6" t="s">
        <v>446</v>
      </c>
      <c r="G41" s="20"/>
      <c r="H41" s="20"/>
      <c r="I41" s="20"/>
      <c r="J41" s="20"/>
      <c r="K41" s="20"/>
      <c r="L41" s="20"/>
      <c r="M41" s="20"/>
    </row>
    <row r="42" ht="28" customHeight="1" spans="2:13">
      <c r="B42" s="4" t="s">
        <v>447</v>
      </c>
      <c r="C42" s="5" t="s">
        <v>448</v>
      </c>
      <c r="D42" s="5" t="s">
        <v>449</v>
      </c>
      <c r="E42" s="5" t="s">
        <v>450</v>
      </c>
      <c r="F42" s="6" t="s">
        <v>451</v>
      </c>
      <c r="G42" s="20"/>
      <c r="H42" s="20"/>
      <c r="I42" s="20"/>
      <c r="J42" s="20"/>
      <c r="K42" s="20"/>
      <c r="L42" s="20"/>
      <c r="M42" s="20"/>
    </row>
    <row r="43" ht="28" customHeight="1" spans="2:13">
      <c r="B43" s="4" t="s">
        <v>452</v>
      </c>
      <c r="C43" s="5" t="s">
        <v>453</v>
      </c>
      <c r="D43" s="5" t="s">
        <v>454</v>
      </c>
      <c r="E43" s="5" t="s">
        <v>455</v>
      </c>
      <c r="F43" s="6" t="s">
        <v>456</v>
      </c>
      <c r="G43" s="20"/>
      <c r="H43" s="20"/>
      <c r="I43" s="20"/>
      <c r="J43" s="20"/>
      <c r="K43" s="20"/>
      <c r="L43" s="20"/>
      <c r="M43" s="20"/>
    </row>
  </sheetData>
  <mergeCells count="16">
    <mergeCell ref="B2:M2"/>
    <mergeCell ref="B3:M3"/>
    <mergeCell ref="B5:M5"/>
    <mergeCell ref="B12:M12"/>
    <mergeCell ref="B19:M19"/>
    <mergeCell ref="B26:M26"/>
    <mergeCell ref="B34:M34"/>
    <mergeCell ref="F35:M35"/>
    <mergeCell ref="F36:M36"/>
    <mergeCell ref="F37:M37"/>
    <mergeCell ref="F38:M38"/>
    <mergeCell ref="F39:M39"/>
    <mergeCell ref="F40:M40"/>
    <mergeCell ref="F41:M41"/>
    <mergeCell ref="F42:M42"/>
    <mergeCell ref="F43:M43"/>
  </mergeCell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&amp;K5B6877Validation summary&amp;C&amp;8 Yi Shao · ATM Prospecting Cost Model&amp;R&amp;8 &amp;K5B6877Page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4568"/>
    <pageSetUpPr fitToPage="1"/>
  </sheetPr>
  <dimension ref="B1:S44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/>
  <cols>
    <col min="1" max="1" width="3.63636363636364" customWidth="1"/>
    <col min="2" max="2" width="13" customWidth="1"/>
    <col min="3" max="3" width="24" customWidth="1"/>
    <col min="4" max="4" width="34" customWidth="1"/>
    <col min="5" max="5" width="12" customWidth="1"/>
    <col min="6" max="6" width="11" customWidth="1"/>
    <col min="7" max="7" width="30" customWidth="1"/>
    <col min="8" max="8" width="10" customWidth="1"/>
    <col min="9" max="10" width="11" customWidth="1"/>
    <col min="11" max="11" width="8" customWidth="1"/>
    <col min="12" max="12" width="12" customWidth="1"/>
    <col min="13" max="13" width="13" customWidth="1"/>
    <col min="14" max="14" width="14" customWidth="1"/>
    <col min="15" max="15" width="13" customWidth="1"/>
    <col min="16" max="16" width="12" customWidth="1"/>
    <col min="17" max="17" width="18" customWidth="1"/>
    <col min="18" max="18" width="23" customWidth="1"/>
    <col min="19" max="19" width="24" customWidth="1"/>
  </cols>
  <sheetData>
    <row r="1" ht="10" customHeight="1"/>
    <row r="2" ht="36" customHeight="1" spans="2:19">
      <c r="B2" s="1" t="s">
        <v>457</v>
      </c>
    </row>
    <row r="3" ht="34" customHeight="1" spans="2:19">
      <c r="B3" s="2" t="s">
        <v>458</v>
      </c>
    </row>
    <row r="5" ht="28" customHeight="1" spans="2:19">
      <c r="B5" s="15" t="s">
        <v>380</v>
      </c>
      <c r="C5" s="15" t="s">
        <v>391</v>
      </c>
      <c r="D5" s="15" t="s">
        <v>459</v>
      </c>
      <c r="E5" s="15" t="s">
        <v>381</v>
      </c>
      <c r="F5" s="15" t="s">
        <v>460</v>
      </c>
      <c r="G5" s="15" t="s">
        <v>461</v>
      </c>
      <c r="H5" s="15" t="s">
        <v>393</v>
      </c>
      <c r="I5" s="15" t="s">
        <v>462</v>
      </c>
      <c r="J5" s="15" t="s">
        <v>463</v>
      </c>
      <c r="K5" s="15" t="s">
        <v>464</v>
      </c>
      <c r="L5" s="15" t="s">
        <v>465</v>
      </c>
      <c r="M5" s="15" t="s">
        <v>395</v>
      </c>
      <c r="N5" s="15" t="s">
        <v>466</v>
      </c>
      <c r="O5" s="15" t="s">
        <v>416</v>
      </c>
      <c r="P5" s="15" t="s">
        <v>467</v>
      </c>
      <c r="Q5" s="15" t="s">
        <v>468</v>
      </c>
      <c r="R5" s="15" t="s">
        <v>469</v>
      </c>
      <c r="S5" s="15" t="s">
        <v>470</v>
      </c>
    </row>
    <row r="6" ht="25" customHeight="1" spans="2:19">
      <c r="B6" s="16" t="s">
        <v>386</v>
      </c>
      <c r="C6" s="16" t="s">
        <v>397</v>
      </c>
      <c r="D6" s="16" t="s">
        <v>471</v>
      </c>
      <c r="E6" s="16" t="s">
        <v>387</v>
      </c>
      <c r="F6" s="16">
        <v>2500</v>
      </c>
      <c r="G6" s="16" t="s">
        <v>472</v>
      </c>
      <c r="H6" s="16">
        <v>63</v>
      </c>
      <c r="I6" s="16">
        <v>7</v>
      </c>
      <c r="J6" s="16">
        <v>0</v>
      </c>
      <c r="K6" s="16">
        <v>5</v>
      </c>
      <c r="L6" s="16" t="s">
        <v>473</v>
      </c>
      <c r="M6" s="17">
        <f t="shared" ref="M6:M44" si="0">IFERROR(H6/I6,"")</f>
        <v>9</v>
      </c>
      <c r="N6" s="16"/>
      <c r="O6" s="16"/>
      <c r="P6" s="16"/>
      <c r="Q6" s="16" t="s">
        <v>474</v>
      </c>
      <c r="R6" s="16" t="s">
        <v>475</v>
      </c>
      <c r="S6" s="16" t="s">
        <v>476</v>
      </c>
    </row>
    <row r="7" ht="25" customHeight="1" spans="2:19">
      <c r="B7" s="16" t="s">
        <v>386</v>
      </c>
      <c r="C7" s="16" t="s">
        <v>397</v>
      </c>
      <c r="D7" s="16" t="s">
        <v>471</v>
      </c>
      <c r="E7" s="16" t="s">
        <v>388</v>
      </c>
      <c r="F7" s="16">
        <v>2500</v>
      </c>
      <c r="G7" s="16" t="s">
        <v>472</v>
      </c>
      <c r="H7" s="16">
        <v>63</v>
      </c>
      <c r="I7" s="16">
        <v>0</v>
      </c>
      <c r="J7" s="16">
        <v>5</v>
      </c>
      <c r="K7" s="16">
        <v>5</v>
      </c>
      <c r="L7" s="16" t="s">
        <v>473</v>
      </c>
      <c r="M7" s="17" t="str">
        <f t="shared" si="0"/>
        <v/>
      </c>
      <c r="N7" s="16"/>
      <c r="O7" s="16"/>
      <c r="P7" s="16"/>
      <c r="Q7" s="16" t="s">
        <v>474</v>
      </c>
      <c r="R7" s="16" t="s">
        <v>475</v>
      </c>
      <c r="S7" s="16" t="s">
        <v>476</v>
      </c>
    </row>
    <row r="8" ht="25" customHeight="1" spans="2:19">
      <c r="B8" s="16" t="s">
        <v>386</v>
      </c>
      <c r="C8" s="16" t="s">
        <v>399</v>
      </c>
      <c r="D8" s="16" t="s">
        <v>477</v>
      </c>
      <c r="E8" s="16" t="s">
        <v>387</v>
      </c>
      <c r="F8" s="16">
        <v>2500</v>
      </c>
      <c r="G8" s="16" t="s">
        <v>472</v>
      </c>
      <c r="H8" s="16">
        <v>49</v>
      </c>
      <c r="I8" s="16">
        <v>7</v>
      </c>
      <c r="J8" s="16">
        <v>0</v>
      </c>
      <c r="K8" s="16">
        <v>5</v>
      </c>
      <c r="L8" s="16" t="s">
        <v>473</v>
      </c>
      <c r="M8" s="17">
        <f t="shared" si="0"/>
        <v>7</v>
      </c>
      <c r="N8" s="16"/>
      <c r="O8" s="16"/>
      <c r="P8" s="16"/>
      <c r="Q8" s="16" t="s">
        <v>478</v>
      </c>
      <c r="R8" s="16" t="s">
        <v>475</v>
      </c>
      <c r="S8" s="16" t="s">
        <v>476</v>
      </c>
    </row>
    <row r="9" ht="25" customHeight="1" spans="2:19">
      <c r="B9" s="16" t="s">
        <v>386</v>
      </c>
      <c r="C9" s="16" t="s">
        <v>399</v>
      </c>
      <c r="D9" s="16" t="s">
        <v>477</v>
      </c>
      <c r="E9" s="16" t="s">
        <v>388</v>
      </c>
      <c r="F9" s="16">
        <v>2500</v>
      </c>
      <c r="G9" s="16" t="s">
        <v>472</v>
      </c>
      <c r="H9" s="16">
        <v>49</v>
      </c>
      <c r="I9" s="16">
        <v>0</v>
      </c>
      <c r="J9" s="16">
        <v>5</v>
      </c>
      <c r="K9" s="16">
        <v>5</v>
      </c>
      <c r="L9" s="16" t="s">
        <v>473</v>
      </c>
      <c r="M9" s="17" t="str">
        <f t="shared" si="0"/>
        <v/>
      </c>
      <c r="N9" s="16"/>
      <c r="O9" s="16"/>
      <c r="P9" s="16"/>
      <c r="Q9" s="16" t="s">
        <v>478</v>
      </c>
      <c r="R9" s="16" t="s">
        <v>475</v>
      </c>
      <c r="S9" s="16" t="s">
        <v>476</v>
      </c>
    </row>
    <row r="10" ht="25" customHeight="1" spans="2:19">
      <c r="B10" s="16" t="s">
        <v>386</v>
      </c>
      <c r="C10" s="16" t="s">
        <v>401</v>
      </c>
      <c r="D10" s="16" t="s">
        <v>479</v>
      </c>
      <c r="E10" s="16" t="s">
        <v>387</v>
      </c>
      <c r="F10" s="16">
        <v>2500</v>
      </c>
      <c r="G10" s="16" t="s">
        <v>472</v>
      </c>
      <c r="H10" s="16">
        <v>106</v>
      </c>
      <c r="I10" s="16">
        <v>9</v>
      </c>
      <c r="J10" s="16">
        <v>0</v>
      </c>
      <c r="K10" s="16">
        <v>5</v>
      </c>
      <c r="L10" s="16" t="s">
        <v>473</v>
      </c>
      <c r="M10" s="17">
        <f t="shared" si="0"/>
        <v>11.7777777777778</v>
      </c>
      <c r="N10" s="16"/>
      <c r="O10" s="16"/>
      <c r="P10" s="16"/>
      <c r="Q10" s="16" t="s">
        <v>480</v>
      </c>
      <c r="R10" s="16" t="s">
        <v>475</v>
      </c>
      <c r="S10" s="16" t="s">
        <v>476</v>
      </c>
    </row>
    <row r="11" ht="25" customHeight="1" spans="2:19">
      <c r="B11" s="16" t="s">
        <v>386</v>
      </c>
      <c r="C11" s="16" t="s">
        <v>401</v>
      </c>
      <c r="D11" s="16" t="s">
        <v>479</v>
      </c>
      <c r="E11" s="16" t="s">
        <v>388</v>
      </c>
      <c r="F11" s="16">
        <v>2500</v>
      </c>
      <c r="G11" s="16" t="s">
        <v>472</v>
      </c>
      <c r="H11" s="16">
        <v>106</v>
      </c>
      <c r="I11" s="16">
        <v>0</v>
      </c>
      <c r="J11" s="16">
        <v>5</v>
      </c>
      <c r="K11" s="16">
        <v>5</v>
      </c>
      <c r="L11" s="16" t="s">
        <v>473</v>
      </c>
      <c r="M11" s="17" t="str">
        <f t="shared" si="0"/>
        <v/>
      </c>
      <c r="N11" s="16"/>
      <c r="O11" s="16"/>
      <c r="P11" s="16"/>
      <c r="Q11" s="16" t="s">
        <v>480</v>
      </c>
      <c r="R11" s="16" t="s">
        <v>475</v>
      </c>
      <c r="S11" s="16" t="s">
        <v>476</v>
      </c>
    </row>
    <row r="12" ht="25" customHeight="1" spans="2:19">
      <c r="B12" s="16" t="s">
        <v>389</v>
      </c>
      <c r="C12" s="16" t="s">
        <v>403</v>
      </c>
      <c r="D12" s="16" t="s">
        <v>481</v>
      </c>
      <c r="E12" s="16" t="s">
        <v>387</v>
      </c>
      <c r="F12" s="16">
        <v>5000</v>
      </c>
      <c r="G12" s="16" t="s">
        <v>482</v>
      </c>
      <c r="H12" s="16">
        <v>85</v>
      </c>
      <c r="I12" s="16">
        <v>10</v>
      </c>
      <c r="J12" s="16">
        <v>0</v>
      </c>
      <c r="K12" s="16">
        <v>5</v>
      </c>
      <c r="L12" s="16" t="s">
        <v>473</v>
      </c>
      <c r="M12" s="17">
        <f t="shared" si="0"/>
        <v>8.5</v>
      </c>
      <c r="N12" s="16"/>
      <c r="O12" s="16"/>
      <c r="P12" s="16"/>
      <c r="Q12" s="16" t="s">
        <v>483</v>
      </c>
      <c r="R12" s="16" t="s">
        <v>475</v>
      </c>
      <c r="S12" s="16" t="s">
        <v>476</v>
      </c>
    </row>
    <row r="13" ht="25" customHeight="1" spans="2:19">
      <c r="B13" s="16" t="s">
        <v>389</v>
      </c>
      <c r="C13" s="16" t="s">
        <v>403</v>
      </c>
      <c r="D13" s="16" t="s">
        <v>481</v>
      </c>
      <c r="E13" s="16" t="s">
        <v>388</v>
      </c>
      <c r="F13" s="16">
        <v>5000</v>
      </c>
      <c r="G13" s="16" t="s">
        <v>482</v>
      </c>
      <c r="H13" s="16">
        <v>85</v>
      </c>
      <c r="I13" s="16">
        <v>0</v>
      </c>
      <c r="J13" s="16">
        <v>5</v>
      </c>
      <c r="K13" s="16">
        <v>5</v>
      </c>
      <c r="L13" s="16" t="s">
        <v>473</v>
      </c>
      <c r="M13" s="17" t="str">
        <f t="shared" si="0"/>
        <v/>
      </c>
      <c r="N13" s="16"/>
      <c r="O13" s="16"/>
      <c r="P13" s="16"/>
      <c r="Q13" s="16" t="s">
        <v>483</v>
      </c>
      <c r="R13" s="16" t="s">
        <v>475</v>
      </c>
      <c r="S13" s="16" t="s">
        <v>476</v>
      </c>
    </row>
    <row r="14" ht="25" customHeight="1" spans="2:19">
      <c r="B14" s="16" t="s">
        <v>484</v>
      </c>
      <c r="C14" s="16" t="s">
        <v>485</v>
      </c>
      <c r="D14" s="16" t="s">
        <v>486</v>
      </c>
      <c r="E14" s="16" t="s">
        <v>418</v>
      </c>
      <c r="F14" s="16">
        <v>1000</v>
      </c>
      <c r="G14" s="16" t="s">
        <v>487</v>
      </c>
      <c r="H14" s="16">
        <v>20</v>
      </c>
      <c r="I14" s="16">
        <v>1</v>
      </c>
      <c r="J14" s="16"/>
      <c r="K14" s="16"/>
      <c r="L14" s="16"/>
      <c r="M14" s="17">
        <f t="shared" si="0"/>
        <v>20</v>
      </c>
      <c r="N14" s="16">
        <v>10</v>
      </c>
      <c r="O14" s="16">
        <v>7</v>
      </c>
      <c r="P14" s="16">
        <v>6023</v>
      </c>
      <c r="Q14" s="16"/>
      <c r="R14" s="16" t="s">
        <v>475</v>
      </c>
      <c r="S14" s="16" t="s">
        <v>476</v>
      </c>
    </row>
    <row r="15" ht="25" customHeight="1" spans="2:19">
      <c r="B15" s="16" t="s">
        <v>484</v>
      </c>
      <c r="C15" s="16" t="s">
        <v>485</v>
      </c>
      <c r="D15" s="16" t="s">
        <v>486</v>
      </c>
      <c r="E15" s="16" t="s">
        <v>419</v>
      </c>
      <c r="F15" s="16">
        <v>1000</v>
      </c>
      <c r="G15" s="16" t="s">
        <v>487</v>
      </c>
      <c r="H15" s="16">
        <v>12</v>
      </c>
      <c r="I15" s="16">
        <v>1</v>
      </c>
      <c r="J15" s="16"/>
      <c r="K15" s="16"/>
      <c r="L15" s="16"/>
      <c r="M15" s="17">
        <f t="shared" si="0"/>
        <v>12</v>
      </c>
      <c r="N15" s="16">
        <v>2</v>
      </c>
      <c r="O15" s="16">
        <v>0</v>
      </c>
      <c r="P15" s="16">
        <v>1360.5</v>
      </c>
      <c r="Q15" s="16"/>
      <c r="R15" s="16" t="s">
        <v>475</v>
      </c>
      <c r="S15" s="16" t="s">
        <v>476</v>
      </c>
    </row>
    <row r="16" ht="25" customHeight="1" spans="2:19">
      <c r="B16" s="16" t="s">
        <v>484</v>
      </c>
      <c r="C16" s="16" t="s">
        <v>488</v>
      </c>
      <c r="D16" s="16" t="s">
        <v>489</v>
      </c>
      <c r="E16" s="16" t="s">
        <v>418</v>
      </c>
      <c r="F16" s="16">
        <v>1000</v>
      </c>
      <c r="G16" s="16" t="s">
        <v>490</v>
      </c>
      <c r="H16" s="16">
        <v>20</v>
      </c>
      <c r="I16" s="16">
        <v>1</v>
      </c>
      <c r="J16" s="16"/>
      <c r="K16" s="16"/>
      <c r="L16" s="16"/>
      <c r="M16" s="17">
        <f t="shared" si="0"/>
        <v>20</v>
      </c>
      <c r="N16" s="16">
        <v>15</v>
      </c>
      <c r="O16" s="16">
        <v>15</v>
      </c>
      <c r="P16" s="16">
        <v>3392.7</v>
      </c>
      <c r="Q16" s="16"/>
      <c r="R16" s="16" t="s">
        <v>475</v>
      </c>
      <c r="S16" s="16" t="s">
        <v>476</v>
      </c>
    </row>
    <row r="17" ht="25" customHeight="1" spans="2:19">
      <c r="B17" s="16" t="s">
        <v>484</v>
      </c>
      <c r="C17" s="16" t="s">
        <v>488</v>
      </c>
      <c r="D17" s="16" t="s">
        <v>489</v>
      </c>
      <c r="E17" s="16" t="s">
        <v>419</v>
      </c>
      <c r="F17" s="16">
        <v>1000</v>
      </c>
      <c r="G17" s="16" t="s">
        <v>490</v>
      </c>
      <c r="H17" s="16">
        <v>4</v>
      </c>
      <c r="I17" s="16">
        <v>1</v>
      </c>
      <c r="J17" s="16"/>
      <c r="K17" s="16"/>
      <c r="L17" s="16"/>
      <c r="M17" s="17">
        <f t="shared" si="0"/>
        <v>4</v>
      </c>
      <c r="N17" s="16">
        <v>0</v>
      </c>
      <c r="O17" s="16">
        <v>0</v>
      </c>
      <c r="P17" s="16">
        <v>768.2</v>
      </c>
      <c r="Q17" s="16"/>
      <c r="R17" s="16" t="s">
        <v>475</v>
      </c>
      <c r="S17" s="16" t="s">
        <v>476</v>
      </c>
    </row>
    <row r="18" ht="25" customHeight="1" spans="2:19">
      <c r="B18" s="16" t="s">
        <v>484</v>
      </c>
      <c r="C18" s="16" t="s">
        <v>491</v>
      </c>
      <c r="D18" s="16" t="s">
        <v>492</v>
      </c>
      <c r="E18" s="16" t="s">
        <v>418</v>
      </c>
      <c r="F18" s="16">
        <v>1000</v>
      </c>
      <c r="G18" s="16" t="s">
        <v>493</v>
      </c>
      <c r="H18" s="16">
        <v>20</v>
      </c>
      <c r="I18" s="16">
        <v>1</v>
      </c>
      <c r="J18" s="16"/>
      <c r="K18" s="16"/>
      <c r="L18" s="16"/>
      <c r="M18" s="17">
        <f t="shared" si="0"/>
        <v>20</v>
      </c>
      <c r="N18" s="16">
        <v>12</v>
      </c>
      <c r="O18" s="16">
        <v>9</v>
      </c>
      <c r="P18" s="16">
        <v>4791</v>
      </c>
      <c r="Q18" s="16"/>
      <c r="R18" s="16" t="s">
        <v>475</v>
      </c>
      <c r="S18" s="16" t="s">
        <v>476</v>
      </c>
    </row>
    <row r="19" ht="25" customHeight="1" spans="2:19">
      <c r="B19" s="16" t="s">
        <v>484</v>
      </c>
      <c r="C19" s="16" t="s">
        <v>491</v>
      </c>
      <c r="D19" s="16" t="s">
        <v>492</v>
      </c>
      <c r="E19" s="16" t="s">
        <v>419</v>
      </c>
      <c r="F19" s="16">
        <v>1000</v>
      </c>
      <c r="G19" s="16" t="s">
        <v>493</v>
      </c>
      <c r="H19" s="16">
        <v>10</v>
      </c>
      <c r="I19" s="16">
        <v>1</v>
      </c>
      <c r="J19" s="16"/>
      <c r="K19" s="16"/>
      <c r="L19" s="16"/>
      <c r="M19" s="17">
        <f t="shared" si="0"/>
        <v>10</v>
      </c>
      <c r="N19" s="16">
        <v>3</v>
      </c>
      <c r="O19" s="16">
        <v>0</v>
      </c>
      <c r="P19" s="16">
        <v>1173.1</v>
      </c>
      <c r="Q19" s="16"/>
      <c r="R19" s="16" t="s">
        <v>475</v>
      </c>
      <c r="S19" s="16" t="s">
        <v>476</v>
      </c>
    </row>
    <row r="20" ht="30" customHeight="1" spans="2:19">
      <c r="B20" s="16" t="s">
        <v>494</v>
      </c>
      <c r="C20" s="16" t="s">
        <v>495</v>
      </c>
      <c r="D20" s="16" t="s">
        <v>496</v>
      </c>
      <c r="E20" s="16" t="s">
        <v>387</v>
      </c>
      <c r="F20" s="16">
        <v>2500</v>
      </c>
      <c r="G20" s="16" t="s">
        <v>472</v>
      </c>
      <c r="H20" s="16">
        <v>99</v>
      </c>
      <c r="I20" s="16">
        <v>13</v>
      </c>
      <c r="J20" s="16">
        <v>0</v>
      </c>
      <c r="K20" s="16">
        <v>9</v>
      </c>
      <c r="L20" s="16" t="s">
        <v>473</v>
      </c>
      <c r="M20" s="17">
        <f t="shared" si="0"/>
        <v>7.61538461538461</v>
      </c>
      <c r="N20" s="16"/>
      <c r="O20" s="16"/>
      <c r="P20" s="16"/>
      <c r="Q20" s="16" t="s">
        <v>497</v>
      </c>
      <c r="R20" s="16" t="s">
        <v>339</v>
      </c>
      <c r="S20" s="16" t="s">
        <v>152</v>
      </c>
    </row>
    <row r="21" ht="30" customHeight="1" spans="2:19">
      <c r="B21" s="16" t="s">
        <v>494</v>
      </c>
      <c r="C21" s="16" t="s">
        <v>498</v>
      </c>
      <c r="D21" s="16" t="s">
        <v>496</v>
      </c>
      <c r="E21" s="16" t="s">
        <v>387</v>
      </c>
      <c r="F21" s="16">
        <v>2500</v>
      </c>
      <c r="G21" s="16" t="s">
        <v>472</v>
      </c>
      <c r="H21" s="16">
        <v>144</v>
      </c>
      <c r="I21" s="16">
        <v>11</v>
      </c>
      <c r="J21" s="16">
        <v>0</v>
      </c>
      <c r="K21" s="16">
        <v>5</v>
      </c>
      <c r="L21" s="16" t="s">
        <v>473</v>
      </c>
      <c r="M21" s="17">
        <f t="shared" si="0"/>
        <v>13.0909090909091</v>
      </c>
      <c r="N21" s="16"/>
      <c r="O21" s="16"/>
      <c r="P21" s="16"/>
      <c r="Q21" s="16" t="s">
        <v>499</v>
      </c>
      <c r="R21" s="16" t="s">
        <v>339</v>
      </c>
      <c r="S21" s="16" t="s">
        <v>152</v>
      </c>
    </row>
    <row r="22" ht="30" customHeight="1" spans="2:19">
      <c r="B22" s="16" t="s">
        <v>494</v>
      </c>
      <c r="C22" s="16" t="s">
        <v>500</v>
      </c>
      <c r="D22" s="16" t="s">
        <v>496</v>
      </c>
      <c r="E22" s="16" t="s">
        <v>387</v>
      </c>
      <c r="F22" s="16">
        <v>2500</v>
      </c>
      <c r="G22" s="16" t="s">
        <v>472</v>
      </c>
      <c r="H22" s="16">
        <v>133</v>
      </c>
      <c r="I22" s="16">
        <v>16</v>
      </c>
      <c r="J22" s="16">
        <v>0</v>
      </c>
      <c r="K22" s="16">
        <v>9</v>
      </c>
      <c r="L22" s="16" t="s">
        <v>473</v>
      </c>
      <c r="M22" s="17">
        <f t="shared" si="0"/>
        <v>8.3125</v>
      </c>
      <c r="N22" s="16"/>
      <c r="O22" s="16"/>
      <c r="P22" s="16"/>
      <c r="Q22" s="16" t="s">
        <v>501</v>
      </c>
      <c r="R22" s="16" t="s">
        <v>339</v>
      </c>
      <c r="S22" s="16" t="s">
        <v>152</v>
      </c>
    </row>
    <row r="23" ht="30" customHeight="1" spans="2:19">
      <c r="B23" s="16" t="s">
        <v>494</v>
      </c>
      <c r="C23" s="16" t="s">
        <v>502</v>
      </c>
      <c r="D23" s="16" t="s">
        <v>496</v>
      </c>
      <c r="E23" s="16" t="s">
        <v>387</v>
      </c>
      <c r="F23" s="16">
        <v>2500</v>
      </c>
      <c r="G23" s="16" t="s">
        <v>472</v>
      </c>
      <c r="H23" s="16">
        <v>108</v>
      </c>
      <c r="I23" s="16">
        <v>10</v>
      </c>
      <c r="J23" s="16">
        <v>0</v>
      </c>
      <c r="K23" s="16">
        <v>5</v>
      </c>
      <c r="L23" s="16" t="s">
        <v>473</v>
      </c>
      <c r="M23" s="17">
        <f t="shared" si="0"/>
        <v>10.8</v>
      </c>
      <c r="N23" s="16"/>
      <c r="O23" s="16"/>
      <c r="P23" s="16"/>
      <c r="Q23" s="16" t="s">
        <v>503</v>
      </c>
      <c r="R23" s="16" t="s">
        <v>339</v>
      </c>
      <c r="S23" s="16" t="s">
        <v>152</v>
      </c>
    </row>
    <row r="24" ht="30" customHeight="1" spans="2:19">
      <c r="B24" s="16" t="s">
        <v>494</v>
      </c>
      <c r="C24" s="16" t="s">
        <v>504</v>
      </c>
      <c r="D24" s="16" t="s">
        <v>496</v>
      </c>
      <c r="E24" s="16" t="s">
        <v>387</v>
      </c>
      <c r="F24" s="16">
        <v>2500</v>
      </c>
      <c r="G24" s="16" t="s">
        <v>472</v>
      </c>
      <c r="H24" s="16">
        <v>55</v>
      </c>
      <c r="I24" s="16">
        <v>6</v>
      </c>
      <c r="J24" s="16">
        <v>0</v>
      </c>
      <c r="K24" s="16">
        <v>5</v>
      </c>
      <c r="L24" s="16" t="s">
        <v>473</v>
      </c>
      <c r="M24" s="17">
        <f t="shared" si="0"/>
        <v>9.16666666666667</v>
      </c>
      <c r="N24" s="16"/>
      <c r="O24" s="16"/>
      <c r="P24" s="16"/>
      <c r="Q24" s="16" t="s">
        <v>505</v>
      </c>
      <c r="R24" s="16" t="s">
        <v>339</v>
      </c>
      <c r="S24" s="16" t="s">
        <v>152</v>
      </c>
    </row>
    <row r="25" ht="30" customHeight="1" spans="2:19">
      <c r="B25" s="16" t="s">
        <v>494</v>
      </c>
      <c r="C25" s="16" t="s">
        <v>506</v>
      </c>
      <c r="D25" s="16" t="s">
        <v>496</v>
      </c>
      <c r="E25" s="16" t="s">
        <v>387</v>
      </c>
      <c r="F25" s="16">
        <v>2500</v>
      </c>
      <c r="G25" s="16" t="s">
        <v>472</v>
      </c>
      <c r="H25" s="16">
        <v>49</v>
      </c>
      <c r="I25" s="16">
        <v>6</v>
      </c>
      <c r="J25" s="16">
        <v>0</v>
      </c>
      <c r="K25" s="16">
        <v>5</v>
      </c>
      <c r="L25" s="16" t="s">
        <v>473</v>
      </c>
      <c r="M25" s="17">
        <f t="shared" si="0"/>
        <v>8.16666666666667</v>
      </c>
      <c r="N25" s="16"/>
      <c r="O25" s="16"/>
      <c r="P25" s="16"/>
      <c r="Q25" s="16" t="s">
        <v>507</v>
      </c>
      <c r="R25" s="16" t="s">
        <v>339</v>
      </c>
      <c r="S25" s="16" t="s">
        <v>152</v>
      </c>
    </row>
    <row r="26" ht="30" customHeight="1" spans="2:19">
      <c r="B26" s="16" t="s">
        <v>494</v>
      </c>
      <c r="C26" s="16" t="s">
        <v>508</v>
      </c>
      <c r="D26" s="16" t="s">
        <v>496</v>
      </c>
      <c r="E26" s="16" t="s">
        <v>387</v>
      </c>
      <c r="F26" s="16">
        <v>2500</v>
      </c>
      <c r="G26" s="16" t="s">
        <v>472</v>
      </c>
      <c r="H26" s="16">
        <v>128</v>
      </c>
      <c r="I26" s="16">
        <v>11</v>
      </c>
      <c r="J26" s="16">
        <v>0</v>
      </c>
      <c r="K26" s="16">
        <v>5</v>
      </c>
      <c r="L26" s="16" t="s">
        <v>473</v>
      </c>
      <c r="M26" s="17">
        <f t="shared" si="0"/>
        <v>11.6363636363636</v>
      </c>
      <c r="N26" s="16"/>
      <c r="O26" s="16"/>
      <c r="P26" s="16"/>
      <c r="Q26" s="16" t="s">
        <v>509</v>
      </c>
      <c r="R26" s="16" t="s">
        <v>339</v>
      </c>
      <c r="S26" s="16" t="s">
        <v>152</v>
      </c>
    </row>
    <row r="27" ht="30" customHeight="1" spans="2:19">
      <c r="B27" s="16" t="s">
        <v>494</v>
      </c>
      <c r="C27" s="16" t="s">
        <v>510</v>
      </c>
      <c r="D27" s="16" t="s">
        <v>496</v>
      </c>
      <c r="E27" s="16" t="s">
        <v>387</v>
      </c>
      <c r="F27" s="16">
        <v>2500</v>
      </c>
      <c r="G27" s="16" t="s">
        <v>472</v>
      </c>
      <c r="H27" s="16">
        <v>102</v>
      </c>
      <c r="I27" s="16">
        <v>14</v>
      </c>
      <c r="J27" s="16">
        <v>0</v>
      </c>
      <c r="K27" s="16">
        <v>9</v>
      </c>
      <c r="L27" s="16" t="s">
        <v>473</v>
      </c>
      <c r="M27" s="17">
        <f t="shared" si="0"/>
        <v>7.28571428571429</v>
      </c>
      <c r="N27" s="16"/>
      <c r="O27" s="16"/>
      <c r="P27" s="16"/>
      <c r="Q27" s="16" t="s">
        <v>511</v>
      </c>
      <c r="R27" s="16" t="s">
        <v>339</v>
      </c>
      <c r="S27" s="16" t="s">
        <v>152</v>
      </c>
    </row>
    <row r="28" ht="30" customHeight="1" spans="2:19">
      <c r="B28" s="16" t="s">
        <v>494</v>
      </c>
      <c r="C28" s="16" t="s">
        <v>512</v>
      </c>
      <c r="D28" s="16" t="s">
        <v>496</v>
      </c>
      <c r="E28" s="16" t="s">
        <v>387</v>
      </c>
      <c r="F28" s="16">
        <v>2500</v>
      </c>
      <c r="G28" s="16" t="s">
        <v>472</v>
      </c>
      <c r="H28" s="16">
        <v>49</v>
      </c>
      <c r="I28" s="16">
        <v>7</v>
      </c>
      <c r="J28" s="16">
        <v>0</v>
      </c>
      <c r="K28" s="16">
        <v>5</v>
      </c>
      <c r="L28" s="16" t="s">
        <v>473</v>
      </c>
      <c r="M28" s="17">
        <f t="shared" si="0"/>
        <v>7</v>
      </c>
      <c r="N28" s="16"/>
      <c r="O28" s="16"/>
      <c r="P28" s="16"/>
      <c r="Q28" s="16" t="s">
        <v>513</v>
      </c>
      <c r="R28" s="16" t="s">
        <v>339</v>
      </c>
      <c r="S28" s="16" t="s">
        <v>152</v>
      </c>
    </row>
    <row r="29" ht="30" customHeight="1" spans="2:19">
      <c r="B29" s="16" t="s">
        <v>494</v>
      </c>
      <c r="C29" s="16" t="s">
        <v>514</v>
      </c>
      <c r="D29" s="16" t="s">
        <v>496</v>
      </c>
      <c r="E29" s="16" t="s">
        <v>387</v>
      </c>
      <c r="F29" s="16">
        <v>2500</v>
      </c>
      <c r="G29" s="16" t="s">
        <v>472</v>
      </c>
      <c r="H29" s="16">
        <v>73</v>
      </c>
      <c r="I29" s="16">
        <v>8</v>
      </c>
      <c r="J29" s="16">
        <v>0</v>
      </c>
      <c r="K29" s="16">
        <v>5</v>
      </c>
      <c r="L29" s="16" t="s">
        <v>473</v>
      </c>
      <c r="M29" s="17">
        <f t="shared" si="0"/>
        <v>9.125</v>
      </c>
      <c r="N29" s="16"/>
      <c r="O29" s="16"/>
      <c r="P29" s="16"/>
      <c r="Q29" s="16" t="s">
        <v>515</v>
      </c>
      <c r="R29" s="16" t="s">
        <v>339</v>
      </c>
      <c r="S29" s="16" t="s">
        <v>152</v>
      </c>
    </row>
    <row r="30" ht="30" customHeight="1" spans="2:19">
      <c r="B30" s="16" t="s">
        <v>494</v>
      </c>
      <c r="C30" s="16" t="s">
        <v>516</v>
      </c>
      <c r="D30" s="16" t="s">
        <v>496</v>
      </c>
      <c r="E30" s="16" t="s">
        <v>387</v>
      </c>
      <c r="F30" s="16">
        <v>2500</v>
      </c>
      <c r="G30" s="16" t="s">
        <v>472</v>
      </c>
      <c r="H30" s="16">
        <v>102</v>
      </c>
      <c r="I30" s="16">
        <v>9</v>
      </c>
      <c r="J30" s="16">
        <v>0</v>
      </c>
      <c r="K30" s="16">
        <v>5</v>
      </c>
      <c r="L30" s="16" t="s">
        <v>473</v>
      </c>
      <c r="M30" s="17">
        <f t="shared" si="0"/>
        <v>11.3333333333333</v>
      </c>
      <c r="N30" s="16"/>
      <c r="O30" s="16"/>
      <c r="P30" s="16"/>
      <c r="Q30" s="16" t="s">
        <v>517</v>
      </c>
      <c r="R30" s="16" t="s">
        <v>339</v>
      </c>
      <c r="S30" s="16" t="s">
        <v>152</v>
      </c>
    </row>
    <row r="31" ht="30" customHeight="1" spans="2:19">
      <c r="B31" s="16" t="s">
        <v>494</v>
      </c>
      <c r="C31" s="16" t="s">
        <v>518</v>
      </c>
      <c r="D31" s="16" t="s">
        <v>496</v>
      </c>
      <c r="E31" s="16" t="s">
        <v>387</v>
      </c>
      <c r="F31" s="16">
        <v>2500</v>
      </c>
      <c r="G31" s="16" t="s">
        <v>472</v>
      </c>
      <c r="H31" s="16">
        <v>224</v>
      </c>
      <c r="I31" s="16">
        <v>25</v>
      </c>
      <c r="J31" s="16">
        <v>0</v>
      </c>
      <c r="K31" s="16">
        <v>13</v>
      </c>
      <c r="L31" s="16" t="s">
        <v>473</v>
      </c>
      <c r="M31" s="17">
        <f t="shared" si="0"/>
        <v>8.96</v>
      </c>
      <c r="N31" s="16"/>
      <c r="O31" s="16"/>
      <c r="P31" s="16"/>
      <c r="Q31" s="16" t="s">
        <v>519</v>
      </c>
      <c r="R31" s="16" t="s">
        <v>339</v>
      </c>
      <c r="S31" s="16" t="s">
        <v>152</v>
      </c>
    </row>
    <row r="32" ht="30" customHeight="1" spans="2:19">
      <c r="B32" s="16" t="s">
        <v>494</v>
      </c>
      <c r="C32" s="16" t="s">
        <v>520</v>
      </c>
      <c r="D32" s="16" t="s">
        <v>496</v>
      </c>
      <c r="E32" s="16" t="s">
        <v>387</v>
      </c>
      <c r="F32" s="16">
        <v>2500</v>
      </c>
      <c r="G32" s="16" t="s">
        <v>472</v>
      </c>
      <c r="H32" s="16">
        <v>113</v>
      </c>
      <c r="I32" s="16">
        <v>10</v>
      </c>
      <c r="J32" s="16">
        <v>0</v>
      </c>
      <c r="K32" s="16">
        <v>5</v>
      </c>
      <c r="L32" s="16" t="s">
        <v>473</v>
      </c>
      <c r="M32" s="17">
        <f t="shared" si="0"/>
        <v>11.3</v>
      </c>
      <c r="N32" s="16"/>
      <c r="O32" s="16"/>
      <c r="P32" s="16"/>
      <c r="Q32" s="16" t="s">
        <v>521</v>
      </c>
      <c r="R32" s="16" t="s">
        <v>339</v>
      </c>
      <c r="S32" s="16" t="s">
        <v>152</v>
      </c>
    </row>
    <row r="33" ht="30" customHeight="1" spans="2:19">
      <c r="B33" s="16" t="s">
        <v>494</v>
      </c>
      <c r="C33" s="16" t="s">
        <v>522</v>
      </c>
      <c r="D33" s="16" t="s">
        <v>496</v>
      </c>
      <c r="E33" s="16" t="s">
        <v>387</v>
      </c>
      <c r="F33" s="16">
        <v>2500</v>
      </c>
      <c r="G33" s="16" t="s">
        <v>472</v>
      </c>
      <c r="H33" s="16">
        <v>102</v>
      </c>
      <c r="I33" s="16">
        <v>15</v>
      </c>
      <c r="J33" s="16">
        <v>0</v>
      </c>
      <c r="K33" s="16">
        <v>9</v>
      </c>
      <c r="L33" s="16" t="s">
        <v>473</v>
      </c>
      <c r="M33" s="17">
        <f t="shared" si="0"/>
        <v>6.8</v>
      </c>
      <c r="N33" s="16"/>
      <c r="O33" s="16"/>
      <c r="P33" s="16"/>
      <c r="Q33" s="16" t="s">
        <v>523</v>
      </c>
      <c r="R33" s="16" t="s">
        <v>339</v>
      </c>
      <c r="S33" s="16" t="s">
        <v>152</v>
      </c>
    </row>
    <row r="34" ht="30" customHeight="1" spans="2:19">
      <c r="B34" s="16" t="s">
        <v>494</v>
      </c>
      <c r="C34" s="16" t="s">
        <v>524</v>
      </c>
      <c r="D34" s="16" t="s">
        <v>496</v>
      </c>
      <c r="E34" s="16" t="s">
        <v>387</v>
      </c>
      <c r="F34" s="16">
        <v>2500</v>
      </c>
      <c r="G34" s="16" t="s">
        <v>472</v>
      </c>
      <c r="H34" s="16">
        <v>36</v>
      </c>
      <c r="I34" s="16">
        <v>6</v>
      </c>
      <c r="J34" s="16">
        <v>0</v>
      </c>
      <c r="K34" s="16">
        <v>5</v>
      </c>
      <c r="L34" s="16" t="s">
        <v>473</v>
      </c>
      <c r="M34" s="17">
        <f t="shared" si="0"/>
        <v>6</v>
      </c>
      <c r="N34" s="16"/>
      <c r="O34" s="16"/>
      <c r="P34" s="16"/>
      <c r="Q34" s="16" t="s">
        <v>525</v>
      </c>
      <c r="R34" s="16" t="s">
        <v>339</v>
      </c>
      <c r="S34" s="16" t="s">
        <v>152</v>
      </c>
    </row>
    <row r="35" ht="30" customHeight="1" spans="2:19">
      <c r="B35" s="16" t="s">
        <v>494</v>
      </c>
      <c r="C35" s="16" t="s">
        <v>526</v>
      </c>
      <c r="D35" s="16" t="s">
        <v>496</v>
      </c>
      <c r="E35" s="16" t="s">
        <v>387</v>
      </c>
      <c r="F35" s="16">
        <v>2500</v>
      </c>
      <c r="G35" s="16" t="s">
        <v>472</v>
      </c>
      <c r="H35" s="16">
        <v>136</v>
      </c>
      <c r="I35" s="16">
        <v>16</v>
      </c>
      <c r="J35" s="16">
        <v>0</v>
      </c>
      <c r="K35" s="16">
        <v>9</v>
      </c>
      <c r="L35" s="16" t="s">
        <v>473</v>
      </c>
      <c r="M35" s="17">
        <f t="shared" si="0"/>
        <v>8.5</v>
      </c>
      <c r="N35" s="16"/>
      <c r="O35" s="16"/>
      <c r="P35" s="16"/>
      <c r="Q35" s="16" t="s">
        <v>527</v>
      </c>
      <c r="R35" s="16" t="s">
        <v>339</v>
      </c>
      <c r="S35" s="16" t="s">
        <v>152</v>
      </c>
    </row>
    <row r="36" ht="30" customHeight="1" spans="2:19">
      <c r="B36" s="16" t="s">
        <v>494</v>
      </c>
      <c r="C36" s="16" t="s">
        <v>528</v>
      </c>
      <c r="D36" s="16" t="s">
        <v>496</v>
      </c>
      <c r="E36" s="16" t="s">
        <v>387</v>
      </c>
      <c r="F36" s="16">
        <v>2500</v>
      </c>
      <c r="G36" s="16" t="s">
        <v>472</v>
      </c>
      <c r="H36" s="16">
        <v>146</v>
      </c>
      <c r="I36" s="16">
        <v>17</v>
      </c>
      <c r="J36" s="16">
        <v>0</v>
      </c>
      <c r="K36" s="16">
        <v>9</v>
      </c>
      <c r="L36" s="16" t="s">
        <v>473</v>
      </c>
      <c r="M36" s="17">
        <f t="shared" si="0"/>
        <v>8.58823529411765</v>
      </c>
      <c r="N36" s="16"/>
      <c r="O36" s="16"/>
      <c r="P36" s="16"/>
      <c r="Q36" s="16" t="s">
        <v>529</v>
      </c>
      <c r="R36" s="16" t="s">
        <v>339</v>
      </c>
      <c r="S36" s="16" t="s">
        <v>152</v>
      </c>
    </row>
    <row r="37" ht="40" customHeight="1" spans="2:19">
      <c r="B37" s="16" t="s">
        <v>494</v>
      </c>
      <c r="C37" s="16" t="s">
        <v>530</v>
      </c>
      <c r="D37" s="16" t="s">
        <v>496</v>
      </c>
      <c r="E37" s="16" t="s">
        <v>387</v>
      </c>
      <c r="F37" s="16">
        <v>2500</v>
      </c>
      <c r="G37" s="16" t="s">
        <v>472</v>
      </c>
      <c r="H37" s="16">
        <v>41</v>
      </c>
      <c r="I37" s="16">
        <v>6</v>
      </c>
      <c r="J37" s="16">
        <v>0</v>
      </c>
      <c r="K37" s="16">
        <v>5</v>
      </c>
      <c r="L37" s="16" t="s">
        <v>473</v>
      </c>
      <c r="M37" s="17">
        <f t="shared" si="0"/>
        <v>6.83333333333333</v>
      </c>
      <c r="N37" s="16"/>
      <c r="O37" s="16"/>
      <c r="P37" s="16"/>
      <c r="Q37" s="16" t="s">
        <v>531</v>
      </c>
      <c r="R37" s="16" t="s">
        <v>339</v>
      </c>
      <c r="S37" s="16" t="s">
        <v>152</v>
      </c>
    </row>
    <row r="38" ht="30" customHeight="1" spans="2:19">
      <c r="B38" s="16" t="s">
        <v>494</v>
      </c>
      <c r="C38" s="16" t="s">
        <v>532</v>
      </c>
      <c r="D38" s="16" t="s">
        <v>496</v>
      </c>
      <c r="E38" s="16" t="s">
        <v>387</v>
      </c>
      <c r="F38" s="16">
        <v>2500</v>
      </c>
      <c r="G38" s="16" t="s">
        <v>472</v>
      </c>
      <c r="H38" s="16">
        <v>49</v>
      </c>
      <c r="I38" s="16">
        <v>7</v>
      </c>
      <c r="J38" s="16">
        <v>0</v>
      </c>
      <c r="K38" s="16">
        <v>5</v>
      </c>
      <c r="L38" s="16" t="s">
        <v>473</v>
      </c>
      <c r="M38" s="17">
        <f t="shared" si="0"/>
        <v>7</v>
      </c>
      <c r="N38" s="16"/>
      <c r="O38" s="16"/>
      <c r="P38" s="16"/>
      <c r="Q38" s="16" t="s">
        <v>533</v>
      </c>
      <c r="R38" s="16" t="s">
        <v>339</v>
      </c>
      <c r="S38" s="16" t="s">
        <v>152</v>
      </c>
    </row>
    <row r="39" ht="40" customHeight="1" spans="2:19">
      <c r="B39" s="16" t="s">
        <v>494</v>
      </c>
      <c r="C39" s="16" t="s">
        <v>534</v>
      </c>
      <c r="D39" s="16" t="s">
        <v>496</v>
      </c>
      <c r="E39" s="16" t="s">
        <v>387</v>
      </c>
      <c r="F39" s="16">
        <v>2500</v>
      </c>
      <c r="G39" s="16" t="s">
        <v>472</v>
      </c>
      <c r="H39" s="16">
        <v>56</v>
      </c>
      <c r="I39" s="16">
        <v>6</v>
      </c>
      <c r="J39" s="16">
        <v>0</v>
      </c>
      <c r="K39" s="16">
        <v>5</v>
      </c>
      <c r="L39" s="16" t="s">
        <v>473</v>
      </c>
      <c r="M39" s="17">
        <f t="shared" si="0"/>
        <v>9.33333333333333</v>
      </c>
      <c r="N39" s="16"/>
      <c r="O39" s="16"/>
      <c r="P39" s="16"/>
      <c r="Q39" s="16" t="s">
        <v>535</v>
      </c>
      <c r="R39" s="16" t="s">
        <v>339</v>
      </c>
      <c r="S39" s="16" t="s">
        <v>152</v>
      </c>
    </row>
    <row r="40" ht="30" customHeight="1" spans="2:19">
      <c r="B40" s="16" t="s">
        <v>494</v>
      </c>
      <c r="C40" s="16" t="s">
        <v>536</v>
      </c>
      <c r="D40" s="16" t="s">
        <v>496</v>
      </c>
      <c r="E40" s="16" t="s">
        <v>387</v>
      </c>
      <c r="F40" s="16">
        <v>2500</v>
      </c>
      <c r="G40" s="16" t="s">
        <v>472</v>
      </c>
      <c r="H40" s="16">
        <v>16</v>
      </c>
      <c r="I40" s="16">
        <v>5</v>
      </c>
      <c r="J40" s="16">
        <v>0</v>
      </c>
      <c r="K40" s="16">
        <v>5</v>
      </c>
      <c r="L40" s="16" t="s">
        <v>473</v>
      </c>
      <c r="M40" s="17">
        <f t="shared" si="0"/>
        <v>3.2</v>
      </c>
      <c r="N40" s="16"/>
      <c r="O40" s="16"/>
      <c r="P40" s="16"/>
      <c r="Q40" s="16" t="s">
        <v>537</v>
      </c>
      <c r="R40" s="16" t="s">
        <v>339</v>
      </c>
      <c r="S40" s="16" t="s">
        <v>152</v>
      </c>
    </row>
    <row r="41" ht="30" customHeight="1" spans="2:19">
      <c r="B41" s="16" t="s">
        <v>494</v>
      </c>
      <c r="C41" s="16" t="s">
        <v>495</v>
      </c>
      <c r="D41" s="16" t="s">
        <v>496</v>
      </c>
      <c r="E41" s="16" t="s">
        <v>388</v>
      </c>
      <c r="F41" s="16">
        <v>2500</v>
      </c>
      <c r="G41" s="16" t="s">
        <v>472</v>
      </c>
      <c r="H41" s="16">
        <v>99</v>
      </c>
      <c r="I41" s="16">
        <v>0</v>
      </c>
      <c r="J41" s="16">
        <v>9</v>
      </c>
      <c r="K41" s="16">
        <v>9</v>
      </c>
      <c r="L41" s="16" t="s">
        <v>473</v>
      </c>
      <c r="M41" s="17" t="str">
        <f t="shared" si="0"/>
        <v/>
      </c>
      <c r="N41" s="16"/>
      <c r="O41" s="16"/>
      <c r="P41" s="16"/>
      <c r="Q41" s="16" t="s">
        <v>497</v>
      </c>
      <c r="R41" s="16" t="s">
        <v>339</v>
      </c>
      <c r="S41" s="16" t="s">
        <v>538</v>
      </c>
    </row>
    <row r="42" ht="30" customHeight="1" spans="2:19">
      <c r="B42" s="16" t="s">
        <v>494</v>
      </c>
      <c r="C42" s="16" t="s">
        <v>504</v>
      </c>
      <c r="D42" s="16" t="s">
        <v>496</v>
      </c>
      <c r="E42" s="16" t="s">
        <v>388</v>
      </c>
      <c r="F42" s="16">
        <v>2500</v>
      </c>
      <c r="G42" s="16" t="s">
        <v>472</v>
      </c>
      <c r="H42" s="16">
        <v>55</v>
      </c>
      <c r="I42" s="16">
        <v>0</v>
      </c>
      <c r="J42" s="16">
        <v>5</v>
      </c>
      <c r="K42" s="16">
        <v>5</v>
      </c>
      <c r="L42" s="16" t="s">
        <v>473</v>
      </c>
      <c r="M42" s="17" t="str">
        <f t="shared" si="0"/>
        <v/>
      </c>
      <c r="N42" s="16"/>
      <c r="O42" s="16"/>
      <c r="P42" s="16"/>
      <c r="Q42" s="16" t="s">
        <v>505</v>
      </c>
      <c r="R42" s="16" t="s">
        <v>339</v>
      </c>
      <c r="S42" s="16" t="s">
        <v>538</v>
      </c>
    </row>
    <row r="43" ht="30" customHeight="1" spans="2:19">
      <c r="B43" s="16" t="s">
        <v>494</v>
      </c>
      <c r="C43" s="16" t="s">
        <v>520</v>
      </c>
      <c r="D43" s="16" t="s">
        <v>496</v>
      </c>
      <c r="E43" s="16" t="s">
        <v>388</v>
      </c>
      <c r="F43" s="16">
        <v>2500</v>
      </c>
      <c r="G43" s="16" t="s">
        <v>472</v>
      </c>
      <c r="H43" s="16">
        <v>113</v>
      </c>
      <c r="I43" s="16">
        <v>0</v>
      </c>
      <c r="J43" s="16">
        <v>5</v>
      </c>
      <c r="K43" s="16">
        <v>5</v>
      </c>
      <c r="L43" s="16" t="s">
        <v>473</v>
      </c>
      <c r="M43" s="17" t="str">
        <f t="shared" si="0"/>
        <v/>
      </c>
      <c r="N43" s="16"/>
      <c r="O43" s="16"/>
      <c r="P43" s="16"/>
      <c r="Q43" s="16" t="s">
        <v>521</v>
      </c>
      <c r="R43" s="16" t="s">
        <v>339</v>
      </c>
      <c r="S43" s="16" t="s">
        <v>538</v>
      </c>
    </row>
    <row r="44" ht="30" customHeight="1" spans="2:19">
      <c r="B44" s="16" t="s">
        <v>494</v>
      </c>
      <c r="C44" s="16" t="s">
        <v>536</v>
      </c>
      <c r="D44" s="16" t="s">
        <v>496</v>
      </c>
      <c r="E44" s="16" t="s">
        <v>388</v>
      </c>
      <c r="F44" s="16">
        <v>2500</v>
      </c>
      <c r="G44" s="16" t="s">
        <v>472</v>
      </c>
      <c r="H44" s="16">
        <v>16</v>
      </c>
      <c r="I44" s="16">
        <v>0</v>
      </c>
      <c r="J44" s="16">
        <v>5</v>
      </c>
      <c r="K44" s="16">
        <v>5</v>
      </c>
      <c r="L44" s="16" t="s">
        <v>473</v>
      </c>
      <c r="M44" s="17" t="str">
        <f t="shared" si="0"/>
        <v/>
      </c>
      <c r="N44" s="16"/>
      <c r="O44" s="16"/>
      <c r="P44" s="16"/>
      <c r="Q44" s="16" t="s">
        <v>537</v>
      </c>
      <c r="R44" s="16" t="s">
        <v>339</v>
      </c>
      <c r="S44" s="16" t="s">
        <v>538</v>
      </c>
    </row>
  </sheetData>
  <mergeCells count="2">
    <mergeCell ref="B2:S2"/>
    <mergeCell ref="B3:S3"/>
  </mergeCell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&amp;K5B6877Raw validation&amp;C&amp;8 Yi Shao · ATM Prospecting Cost Model&amp;R&amp;8 &amp;K5B6877Page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4568"/>
    <pageSetUpPr fitToPage="1"/>
  </sheetPr>
  <dimension ref="B1:L14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/>
  <cols>
    <col min="1" max="1" width="3.63636363636364" customWidth="1"/>
    <col min="2" max="2" width="14.1818181818182"/>
    <col min="3" max="10" width="15.4545454545455"/>
    <col min="11" max="11" width="19.4545454545455"/>
    <col min="12" max="12" width="20.6363636363636"/>
  </cols>
  <sheetData>
    <row r="1" ht="10" customHeight="1"/>
    <row r="2" ht="36" customHeight="1" spans="2:12">
      <c r="B2" s="1" t="s">
        <v>539</v>
      </c>
      <c r="L2" s="13"/>
    </row>
    <row r="3" ht="34" customHeight="1" spans="2:12">
      <c r="B3" s="2" t="s">
        <v>540</v>
      </c>
      <c r="L3" s="13"/>
    </row>
    <row r="5" ht="24" customHeight="1" spans="2:12">
      <c r="B5" s="14" t="s">
        <v>541</v>
      </c>
    </row>
    <row r="7" ht="22" customHeight="1" spans="2:12">
      <c r="C7" t="s">
        <v>381</v>
      </c>
      <c r="D7" t="s">
        <v>542</v>
      </c>
    </row>
    <row r="8" ht="22" customHeight="1" spans="2:12">
      <c r="C8" t="s">
        <v>418</v>
      </c>
      <c r="D8"/>
      <c r="E8" t="s">
        <v>387</v>
      </c>
      <c r="F8"/>
      <c r="G8" t="s">
        <v>419</v>
      </c>
      <c r="I8" t="s">
        <v>388</v>
      </c>
      <c r="K8" t="s">
        <v>543</v>
      </c>
      <c r="L8" t="s">
        <v>544</v>
      </c>
    </row>
    <row r="9" ht="22" customHeight="1" spans="2:12">
      <c r="B9" t="s">
        <v>380</v>
      </c>
      <c r="C9" t="s">
        <v>545</v>
      </c>
      <c r="D9" t="s">
        <v>546</v>
      </c>
      <c r="E9" t="s">
        <v>545</v>
      </c>
      <c r="F9" t="s">
        <v>546</v>
      </c>
      <c r="G9" t="s">
        <v>545</v>
      </c>
      <c r="H9" t="s">
        <v>546</v>
      </c>
      <c r="I9" t="s">
        <v>545</v>
      </c>
      <c r="J9" t="s">
        <v>546</v>
      </c>
    </row>
    <row r="10" ht="22" customHeight="1" spans="2:12">
      <c r="B10" t="s">
        <v>386</v>
      </c>
      <c r="C10"/>
      <c r="D10"/>
      <c r="E10">
        <v>218</v>
      </c>
      <c r="F10">
        <v>23</v>
      </c>
      <c r="G10"/>
      <c r="I10">
        <v>218</v>
      </c>
      <c r="J10">
        <v>0</v>
      </c>
      <c r="K10">
        <v>436</v>
      </c>
      <c r="L10">
        <v>23</v>
      </c>
    </row>
    <row r="11" ht="22" customHeight="1" spans="2:12">
      <c r="B11" t="s">
        <v>494</v>
      </c>
      <c r="C11"/>
      <c r="D11"/>
      <c r="E11">
        <v>1961</v>
      </c>
      <c r="F11">
        <v>224</v>
      </c>
      <c r="G11"/>
      <c r="I11">
        <v>283</v>
      </c>
      <c r="J11">
        <v>0</v>
      </c>
      <c r="K11">
        <v>2244</v>
      </c>
      <c r="L11">
        <v>224</v>
      </c>
    </row>
    <row r="12" ht="22" customHeight="1" spans="2:12">
      <c r="B12" t="s">
        <v>389</v>
      </c>
      <c r="C12"/>
      <c r="D12"/>
      <c r="E12">
        <v>85</v>
      </c>
      <c r="F12">
        <v>10</v>
      </c>
      <c r="G12"/>
      <c r="I12">
        <v>85</v>
      </c>
      <c r="J12">
        <v>0</v>
      </c>
      <c r="K12">
        <v>170</v>
      </c>
      <c r="L12">
        <v>10</v>
      </c>
    </row>
    <row r="13" ht="22" customHeight="1" spans="2:12">
      <c r="B13" t="s">
        <v>484</v>
      </c>
      <c r="C13">
        <v>60</v>
      </c>
      <c r="D13">
        <v>3</v>
      </c>
      <c r="E13"/>
      <c r="F13"/>
      <c r="G13">
        <v>26</v>
      </c>
      <c r="H13">
        <v>3</v>
      </c>
      <c r="K13">
        <v>86</v>
      </c>
      <c r="L13">
        <v>6</v>
      </c>
    </row>
    <row r="14" spans="2:12">
      <c r="B14" t="s">
        <v>547</v>
      </c>
      <c r="C14">
        <v>60</v>
      </c>
      <c r="D14">
        <v>3</v>
      </c>
      <c r="E14">
        <v>2264</v>
      </c>
      <c r="F14">
        <v>257</v>
      </c>
      <c r="G14">
        <v>26</v>
      </c>
      <c r="H14">
        <v>3</v>
      </c>
      <c r="I14">
        <v>586</v>
      </c>
      <c r="J14">
        <v>0</v>
      </c>
      <c r="K14">
        <v>2936</v>
      </c>
      <c r="L14">
        <v>263</v>
      </c>
    </row>
  </sheetData>
  <mergeCells count="3">
    <mergeCell ref="B2:K2"/>
    <mergeCell ref="B3:K3"/>
    <mergeCell ref="B5:K5"/>
  </mergeCells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&amp;K5B6877Pivot table&amp;C&amp;8 Yi Shao · ATM Prospecting Cost Model&amp;R&amp;8 &amp;K5B6877Page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8B8C"/>
    <pageSetUpPr fitToPage="1"/>
  </sheetPr>
  <dimension ref="B1:G23"/>
  <sheetViews>
    <sheetView showGridLines="0" zoomScale="95" zoomScaleNormal="95" workbookViewId="0">
      <pane ySplit="5" topLeftCell="A6" activePane="bottomLeft" state="frozen"/>
      <selection/>
      <selection pane="bottomLeft" activeCell="A1" sqref="A1"/>
    </sheetView>
  </sheetViews>
  <sheetFormatPr defaultColWidth="9" defaultRowHeight="14.5" outlineLevelCol="6"/>
  <cols>
    <col min="1" max="1" width="3.63636363636364" customWidth="1"/>
    <col min="2" max="2" width="17" customWidth="1"/>
    <col min="3" max="3" width="45" customWidth="1"/>
    <col min="4" max="5" width="18" customWidth="1"/>
    <col min="6" max="6" width="16" customWidth="1"/>
    <col min="7" max="7" width="50" customWidth="1"/>
  </cols>
  <sheetData>
    <row r="1" ht="10" customHeight="1"/>
    <row r="2" ht="36" customHeight="1" spans="2:7">
      <c r="B2" s="1" t="s">
        <v>548</v>
      </c>
    </row>
    <row r="3" ht="34" customHeight="1" spans="2:7">
      <c r="B3" s="2" t="s">
        <v>549</v>
      </c>
    </row>
    <row r="5" ht="28" customHeight="1" spans="2:7">
      <c r="B5" s="3" t="s">
        <v>550</v>
      </c>
      <c r="C5" s="3" t="s">
        <v>551</v>
      </c>
      <c r="D5" s="3" t="s">
        <v>552</v>
      </c>
      <c r="E5" s="3" t="s">
        <v>553</v>
      </c>
      <c r="F5" s="3" t="s">
        <v>295</v>
      </c>
      <c r="G5" s="3" t="s">
        <v>554</v>
      </c>
    </row>
    <row r="6" ht="21" customHeight="1" spans="2:7">
      <c r="B6" s="4" t="s">
        <v>555</v>
      </c>
      <c r="C6" s="4" t="s">
        <v>556</v>
      </c>
      <c r="D6" s="5">
        <f>SUM('Validation summary'!C21:C23)</f>
        <v>1856</v>
      </c>
      <c r="E6" s="5">
        <f>INDEX('Source register'!$D$6:$D$31,MATCH("val_bucket_total",'Source register'!$B$6:$B$31,0))</f>
        <v>1856</v>
      </c>
      <c r="F6" s="5" t="str">
        <f>IF(D6=E6,"PASS","FAIL")</f>
        <v>PASS</v>
      </c>
      <c r="G6" s="4" t="s">
        <v>557</v>
      </c>
    </row>
    <row r="7" ht="21" customHeight="1" spans="2:7">
      <c r="B7" s="4" t="s">
        <v>558</v>
      </c>
      <c r="C7" s="4" t="s">
        <v>559</v>
      </c>
      <c r="D7" s="6">
        <f>SUM(Assumptions!C14:C16)</f>
        <v>1</v>
      </c>
      <c r="E7" s="6">
        <v>1</v>
      </c>
      <c r="F7" s="5" t="str">
        <f>IF(ABS(D7-E7)&lt;0.000001,"PASS","FAIL")</f>
        <v>PASS</v>
      </c>
      <c r="G7" s="4" t="s">
        <v>560</v>
      </c>
    </row>
    <row r="8" ht="21" customHeight="1" spans="2:7">
      <c r="B8" s="4" t="s">
        <v>561</v>
      </c>
      <c r="C8" s="4" t="s">
        <v>562</v>
      </c>
      <c r="D8" s="5">
        <f>'Funnel &amp; cost'!D19</f>
        <v>2500</v>
      </c>
      <c r="E8" s="5">
        <f>'Funnel &amp; cost'!D7</f>
        <v>2500</v>
      </c>
      <c r="F8" s="5" t="str">
        <f>IF(ABS(D8-E8)&lt;0.001,"PASS","FAIL")</f>
        <v>PASS</v>
      </c>
      <c r="G8" s="4" t="s">
        <v>563</v>
      </c>
    </row>
    <row r="9" ht="21" customHeight="1" spans="2:7">
      <c r="B9" s="4" t="s">
        <v>564</v>
      </c>
      <c r="C9" s="4" t="s">
        <v>565</v>
      </c>
      <c r="D9" s="5">
        <f>'Funnel &amp; cost'!D9</f>
        <v>29</v>
      </c>
      <c r="E9" s="5">
        <f>ROUND(D9,0)</f>
        <v>29</v>
      </c>
      <c r="F9" s="5" t="str">
        <f>IF(D9=E9,"PASS","FAIL")</f>
        <v>PASS</v>
      </c>
      <c r="G9" s="4" t="s">
        <v>566</v>
      </c>
    </row>
    <row r="10" ht="21" customHeight="1" spans="2:7">
      <c r="B10" s="4" t="s">
        <v>567</v>
      </c>
      <c r="C10" s="4" t="s">
        <v>568</v>
      </c>
      <c r="D10" s="5">
        <f>'Funnel &amp; cost'!D31</f>
        <v>310</v>
      </c>
      <c r="E10" s="5">
        <f>ROUND(D10,0)</f>
        <v>310</v>
      </c>
      <c r="F10" s="5" t="str">
        <f>IF(D10=E10,"PASS","FAIL")</f>
        <v>PASS</v>
      </c>
      <c r="G10" s="4" t="s">
        <v>569</v>
      </c>
    </row>
    <row r="11" ht="21" customHeight="1" spans="2:7">
      <c r="B11" s="4" t="s">
        <v>570</v>
      </c>
      <c r="C11" s="4" t="s">
        <v>571</v>
      </c>
      <c r="D11" s="5">
        <f>'Funnel &amp; cost'!D12</f>
        <v>2563.04761904762</v>
      </c>
      <c r="E11" s="5">
        <f>'Funnel &amp; cost'!D7</f>
        <v>2500</v>
      </c>
      <c r="F11" s="5" t="str">
        <f>IF(D11&gt;=E11,"PASS","FAIL")</f>
        <v>PASS</v>
      </c>
      <c r="G11" s="4" t="s">
        <v>572</v>
      </c>
    </row>
    <row r="12" ht="21" customHeight="1" spans="2:7">
      <c r="B12" s="4" t="s">
        <v>573</v>
      </c>
      <c r="C12" s="4" t="s">
        <v>574</v>
      </c>
      <c r="D12" s="7">
        <f>'Funnel &amp; cost'!D35</f>
        <v>10.85</v>
      </c>
      <c r="E12" s="7">
        <f>MAX(0,'Funnel &amp; cost'!D32-'Funnel &amp; cost'!D34)</f>
        <v>10.85</v>
      </c>
      <c r="F12" s="5" t="str">
        <f>IF(ABS(D12-E12)&lt;0.001,"PASS","FAIL")</f>
        <v>PASS</v>
      </c>
      <c r="G12" s="4" t="s">
        <v>575</v>
      </c>
    </row>
    <row r="13" ht="21" customHeight="1" spans="2:7">
      <c r="B13" s="4" t="s">
        <v>576</v>
      </c>
      <c r="C13" s="4" t="s">
        <v>577</v>
      </c>
      <c r="D13" s="7">
        <f>'Funnel &amp; cost'!D36</f>
        <v>1720.65333333333</v>
      </c>
      <c r="E13" s="7">
        <f>'Funnel &amp; cost'!D29+'Funnel &amp; cost'!D35</f>
        <v>1720.65333333333</v>
      </c>
      <c r="F13" s="5" t="str">
        <f>IF(ABS(D13-E13)&lt;0.001,"PASS","FAIL")</f>
        <v>PASS</v>
      </c>
      <c r="G13" s="4" t="s">
        <v>578</v>
      </c>
    </row>
    <row r="14" ht="21" customHeight="1" spans="2:7">
      <c r="B14" s="4" t="s">
        <v>579</v>
      </c>
      <c r="C14" s="4" t="s">
        <v>580</v>
      </c>
      <c r="D14" s="5">
        <f>'Funnel &amp; cost'!D33</f>
        <v>0</v>
      </c>
      <c r="E14" s="5">
        <f>'Funnel &amp; cost'!D31</f>
        <v>310</v>
      </c>
      <c r="F14" s="5" t="str">
        <f>IF(D14&lt;=E14,"PASS","FAIL")</f>
        <v>PASS</v>
      </c>
      <c r="G14" s="4" t="s">
        <v>581</v>
      </c>
    </row>
    <row r="15" ht="21" customHeight="1" spans="2:7">
      <c r="B15" s="4" t="s">
        <v>582</v>
      </c>
      <c r="C15" s="4" t="s">
        <v>583</v>
      </c>
      <c r="D15" s="5">
        <f>SUMIFS('Raw validation'!$I:$I,'Raw validation'!$E:$E,"Warm")</f>
        <v>0</v>
      </c>
      <c r="E15" s="5">
        <v>0</v>
      </c>
      <c r="F15" s="5" t="str">
        <f>IF(D15=E15,"PASS","FAIL")</f>
        <v>PASS</v>
      </c>
      <c r="G15" s="4" t="s">
        <v>584</v>
      </c>
    </row>
    <row r="16" ht="21" customHeight="1" spans="2:7">
      <c r="B16" s="4" t="s">
        <v>585</v>
      </c>
      <c r="C16" s="4" t="s">
        <v>586</v>
      </c>
      <c r="D16" s="5">
        <f>SUMIFS('Raw validation'!$O:$O,'Raw validation'!$E:$E,"Restriction")</f>
        <v>0</v>
      </c>
      <c r="E16" s="5">
        <v>0</v>
      </c>
      <c r="F16" s="5" t="str">
        <f>IF(D16=E16,"PASS","FAIL")</f>
        <v>PASS</v>
      </c>
      <c r="G16" s="4" t="s">
        <v>587</v>
      </c>
    </row>
    <row r="17" ht="21" customHeight="1" spans="2:7">
      <c r="B17" s="4" t="s">
        <v>588</v>
      </c>
      <c r="C17" s="4" t="s">
        <v>589</v>
      </c>
      <c r="D17" s="7">
        <f>Assumptions!C27</f>
        <v>35</v>
      </c>
      <c r="E17" s="7">
        <v>35</v>
      </c>
      <c r="F17" s="5" t="str">
        <f>IF(D17=E17,"PASS","FAIL")</f>
        <v>PASS</v>
      </c>
      <c r="G17" s="4" t="s">
        <v>590</v>
      </c>
    </row>
    <row r="18" ht="21" customHeight="1" spans="2:7">
      <c r="B18" s="4" t="s">
        <v>591</v>
      </c>
      <c r="C18" s="4" t="s">
        <v>592</v>
      </c>
      <c r="D18" s="5">
        <f>COUNT('Outcome plan'!C6:C23)</f>
        <v>0</v>
      </c>
      <c r="E18" s="5">
        <v>0</v>
      </c>
      <c r="F18" s="5" t="str">
        <f>IF(D18=0,"PASS","REVIEW")</f>
        <v>PASS</v>
      </c>
      <c r="G18" s="4" t="s">
        <v>593</v>
      </c>
    </row>
    <row r="19" ht="22" customHeight="1" spans="2:7">
      <c r="B19" s="4" t="s">
        <v>594</v>
      </c>
      <c r="C19" s="4" t="s">
        <v>595</v>
      </c>
      <c r="D19" s="5">
        <f>SUMIFS('Raw validation'!$I:$I,'Raw validation'!$B:$B,"Market grid",'Raw validation'!$E:$E,"Cold",'Raw validation'!$R:$R,"run-20260904-024050-et")</f>
        <v>224</v>
      </c>
      <c r="E19" s="5">
        <f>INDEX('Source register'!$D$6:$D$31,MATCH("cloud_request_count",'Source register'!$B$6:$B$31,0))</f>
        <v>224</v>
      </c>
      <c r="F19" s="5" t="str">
        <f>IF(D19=E19,"PASS","FAIL")</f>
        <v>PASS</v>
      </c>
      <c r="G19" s="4" t="s">
        <v>596</v>
      </c>
    </row>
    <row r="20" ht="15.25" customHeight="1" spans="2:7">
      <c r="B20" s="4" t="s">
        <v>597</v>
      </c>
      <c r="C20" s="4" t="s">
        <v>598</v>
      </c>
      <c r="D20" s="5">
        <f>SUMIFS('Raw validation'!$I:$I,'Raw validation'!$B:$B,"Market grid",'Raw validation'!$E:$E,"Cold",'Raw validation'!$R:$R,"run-20260904-024050-et")</f>
        <v>224</v>
      </c>
      <c r="E20" s="5">
        <f>INDEX('Source register'!$D$6:$D$31,MATCH("market_run_call_cap",'Source register'!$B$6:$B$31,0))</f>
        <v>225</v>
      </c>
      <c r="F20" s="5" t="str">
        <f>IF(D20&lt;=E20,"PASS","FAIL")</f>
        <v>PASS</v>
      </c>
      <c r="G20" s="4" t="s">
        <v>599</v>
      </c>
    </row>
    <row r="21" ht="24" customHeight="1" spans="2:7">
      <c r="B21" s="8" t="s">
        <v>600</v>
      </c>
      <c r="C21" s="9"/>
      <c r="D21" s="9"/>
      <c r="E21" s="9"/>
      <c r="F21" s="9"/>
      <c r="G21" s="9"/>
    </row>
    <row r="23" ht="38" customHeight="1" spans="2:7">
      <c r="B23" s="10" t="s">
        <v>601</v>
      </c>
      <c r="C23" s="11" t="s">
        <v>602</v>
      </c>
      <c r="D23" s="12"/>
      <c r="E23" s="12"/>
      <c r="F23" s="12"/>
      <c r="G23" s="12"/>
    </row>
  </sheetData>
  <mergeCells count="4">
    <mergeCell ref="B2:G2"/>
    <mergeCell ref="B3:G3"/>
    <mergeCell ref="B21:G21"/>
    <mergeCell ref="C23:G23"/>
  </mergeCells>
  <conditionalFormatting sqref="F6:F18">
    <cfRule type="cellIs" dxfId="0" priority="1" operator="equal">
      <formula>"FAIL"</formula>
    </cfRule>
    <cfRule type="cellIs" dxfId="26" priority="2" operator="equal">
      <formula>"PASS"</formula>
    </cfRule>
    <cfRule type="cellIs" dxfId="27" priority="3" operator="equal">
      <formula>"FAIL"</formula>
    </cfRule>
  </conditionalFormatting>
  <pageMargins left="0.35" right="0.35" top="0.5" bottom="0.5" header="0.2" footer="0.2"/>
  <pageSetup paperSize="1" orientation="landscape"/>
  <headerFooter>
    <oddHeader>&amp;C&amp;8 &amp;K5B6877Yi Shao | ATM prospecting cost model</oddHeader>
    <oddFooter>&amp;L&amp;8 &amp;K5B6877Reconciliation &amp; QA&amp;C&amp;8 Yi Shao · ATM Prospecting Cost Model&amp;R&amp;8 &amp;K5B6877Page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Overview</vt:lpstr>
      <vt:lpstr>Funnel &amp; cost</vt:lpstr>
      <vt:lpstr>Assumptions</vt:lpstr>
      <vt:lpstr>Sensitivity</vt:lpstr>
      <vt:lpstr>Outcome plan</vt:lpstr>
      <vt:lpstr>Source register</vt:lpstr>
      <vt:lpstr>Validation summary</vt:lpstr>
      <vt:lpstr>Raw validation</vt:lpstr>
      <vt:lpstr>Pivot table</vt:lpstr>
      <vt:lpstr>Reconciliation &amp;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ATM Map Prospecting Cost Model</dc:title>
  <dc:subject>Planning model for prospecting workflow capacity, API usage, and campaign outcomes</dc:subject>
  <dc:creator>Yi Shao</dc:creator>
  <cp:keywords>business analysis, cost model, prospecting, sensitivity, UAT</cp:keywords>
  <dc:description>Formula-based ATM prospecting planning model calibrated to a completed 21-area market run, with source register, raw validation, sensitivity, outcome tracking, reconciliation, and QA controls.</dc:description>
  <cp:lastModifiedBy>Yi Shao</cp:lastModifiedBy>
  <dcterms:created xsi:type="dcterms:W3CDTF">2026-09-01T02:22:00Z</dcterms:created>
  <dcterms:modified xsi:type="dcterms:W3CDTF">2026-09-04T08:53:12Z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1BA5FA6F21CF46F4890CFF7A31B18339_12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